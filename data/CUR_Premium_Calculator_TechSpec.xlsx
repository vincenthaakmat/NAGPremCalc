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agicogroup-my.sharepoint.com/personal/vhaakmat_nagico_com/Documents/IP2 Files/"/>
    </mc:Choice>
  </mc:AlternateContent>
  <xr:revisionPtr revIDLastSave="41" documentId="8_{4275044F-39C0-484D-98DA-75465BC8D204}" xr6:coauthVersionLast="47" xr6:coauthVersionMax="47" xr10:uidLastSave="{044DB65A-E765-4466-A5AB-13E9AA6AB17D}"/>
  <bookViews>
    <workbookView xWindow="-120" yWindow="-120" windowWidth="29040" windowHeight="15720" firstSheet="8" activeTab="11" xr2:uid="{00000000-000D-0000-FFFF-FFFF00000000}"/>
  </bookViews>
  <sheets>
    <sheet name="0 - Overview" sheetId="1" r:id="rId1"/>
    <sheet name="1 - Input Fields" sheetId="2" r:id="rId2"/>
    <sheet name="2 - CUR Basic Premium" sheetId="3" r:id="rId3"/>
    <sheet name="3 - Loadings &amp; Discounts" sheetId="4" r:id="rId4"/>
    <sheet name="4 - Period &amp; NCD" sheetId="5" r:id="rId5"/>
    <sheet name="5 - Fees &amp; Final Total" sheetId="6" r:id="rId6"/>
    <sheet name="6 - Live Calc Example" sheetId="7" r:id="rId7"/>
    <sheet name="7 - DB Reference Tables" sheetId="8" r:id="rId8"/>
    <sheet name="8 - Coverage Codes" sheetId="9" r:id="rId9"/>
    <sheet name="AbcTprate " sheetId="10" r:id="rId10"/>
    <sheet name="Coverage.Loadperc" sheetId="11" r:id="rId11"/>
    <sheet name="Premvar" sheetId="12" r:id="rId12"/>
    <sheet name="Sys" sheetId="13" r:id="rId13"/>
    <sheet name="LiabilityVar " sheetId="14" r:id="rId14"/>
    <sheet name="NVehUse" sheetId="15" r:id="rId15"/>
    <sheet name="VehicleTypes " sheetId="16" r:id="rId16"/>
    <sheet name="MinimumPremium " sheetId="17" r:id="rId17"/>
    <sheet name="NCD" sheetId="18" r:id="rId18"/>
    <sheet name="ShortPeriod 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2" l="1"/>
</calcChain>
</file>

<file path=xl/sharedStrings.xml><?xml version="1.0" encoding="utf-8"?>
<sst xmlns="http://schemas.openxmlformats.org/spreadsheetml/2006/main" count="2323" uniqueCount="1131">
  <si>
    <t>VEHICLE PREMIUM CALCULATOR – TECHNICAL SPECIFICATION</t>
  </si>
  <si>
    <t>Territory: CURAÇAO (CUR)  |  Source: GetPremRateABC + CalcNoOverride  |  Currency: ANG (Guilder)</t>
  </si>
  <si>
    <t>WORKBOOK CONTENTS</t>
  </si>
  <si>
    <t>Sheet</t>
  </si>
  <si>
    <t>Description</t>
  </si>
  <si>
    <t>Audience</t>
  </si>
  <si>
    <t>Status</t>
  </si>
  <si>
    <t>1 - Input Fields</t>
  </si>
  <si>
    <t>All input fields, data types, dropdowns, validation rules and UI mapping</t>
  </si>
  <si>
    <t>Frontend Dev</t>
  </si>
  <si>
    <t>Required</t>
  </si>
  <si>
    <t>2 - CUR Basic Premium</t>
  </si>
  <si>
    <t>Step-by-step BasicPremium derivation for CUR (GetPremRateABC logic)</t>
  </si>
  <si>
    <t>Backend Dev</t>
  </si>
  <si>
    <t>3 - Loadings &amp; Discounts</t>
  </si>
  <si>
    <t>All surcharges and discount steps that build YearPremium from BasicPremium</t>
  </si>
  <si>
    <t>4 - Period &amp; NCD</t>
  </si>
  <si>
    <t>Short-period factors, NCD calculation and GrossPremium/DiscountPremium</t>
  </si>
  <si>
    <t>5 - Fees &amp; Final Total</t>
  </si>
  <si>
    <t>PassLiab, Extra Coverage, Policy Fee, Tax/VAT and TotalPremium assembly</t>
  </si>
  <si>
    <t>6 - Live Calc Example</t>
  </si>
  <si>
    <t>Worked numeric example matching the legacy screenshot values</t>
  </si>
  <si>
    <t>QA / Tester</t>
  </si>
  <si>
    <t>7 - DB Reference Tables</t>
  </si>
  <si>
    <t>Database tables queried, key fields and sample data structures</t>
  </si>
  <si>
    <t>DBA / Backend</t>
  </si>
  <si>
    <t>Reference</t>
  </si>
  <si>
    <t>8 - Coverage Codes</t>
  </si>
  <si>
    <t>Coverage code definitions and CUR-applicable rules</t>
  </si>
  <si>
    <t>All</t>
  </si>
  <si>
    <t>IMPORTANT DEVELOPER NOTES</t>
  </si>
  <si>
    <t>⚠</t>
  </si>
  <si>
    <t>CUR uses GetPremRateABC(), which then delegates ALL discount/NCD/period/fee logic to CalcNoOverride().</t>
  </si>
  <si>
    <t>BasicPremium is computed as: VehicleValue × Coverage.Loadperc, then × NVehUse.Loadperc surcharge.</t>
  </si>
  <si>
    <t>Rounding: MidpointRounding.AwayFromZero throughout. Use Decimal arithmetic – never float.</t>
  </si>
  <si>
    <t>A CompRateUpdates rate increase may apply; query DB with CountryCode+PolType+CoverageCode+Date.</t>
  </si>
  <si>
    <t>Liability add-on for CUR: looked up via LiabilityVar table. AddTPL = BasicPremium × liabilityVarList[0].Value.</t>
  </si>
  <si>
    <t>NCD for CUR/BON/ARU: NCD = GrossPremium × (NCD% / 100) — NOT stored-percentage form; pass raw integer e.g. 35.</t>
  </si>
  <si>
    <t>For 6M period, PassLiab is divided by 2 (not multiplied by HalfYearlyPerc) for CUR/BON/ARU.</t>
  </si>
  <si>
    <t>Staff Discount: 20% for agent staff; full Staffdisc% from PremVar only for direct NAGICO staff (NON/EMP codes).</t>
  </si>
  <si>
    <t>AALD auto-applied for commercial VehicleUse codes: BS, SB, CP, HD, TX, RN, GL, GS.</t>
  </si>
  <si>
    <t>ManagDisc (management discount %) is a free-form input; applied multiplicatively on running total.</t>
  </si>
  <si>
    <t>INPUT FIELDS SPECIFICATION  –  Curaçao (CUR)</t>
  </si>
  <si>
    <t>Maps directly to PremiumRequest object fields sent to GetPremRateABC()</t>
  </si>
  <si>
    <t>UI Label (Screen)</t>
  </si>
  <si>
    <t>Request Field</t>
  </si>
  <si>
    <t>Data Type</t>
  </si>
  <si>
    <t>Allowed Values / Source</t>
  </si>
  <si>
    <t>Validation Rule</t>
  </si>
  <si>
    <t>Default</t>
  </si>
  <si>
    <t>Notes</t>
  </si>
  <si>
    <t>Island Territory</t>
  </si>
  <si>
    <t>Territory</t>
  </si>
  <si>
    <t>string (3)</t>
  </si>
  <si>
    <t>Fixed: 'CUR'</t>
  </si>
  <si>
    <t>Must equal 'CUR'</t>
  </si>
  <si>
    <t>CUR</t>
  </si>
  <si>
    <t>Routes to GetPremRateABC()</t>
  </si>
  <si>
    <t>Currency</t>
  </si>
  <si>
    <t>CurrCode</t>
  </si>
  <si>
    <t>string</t>
  </si>
  <si>
    <t>'ANG' (NAf), 'USD'</t>
  </si>
  <si>
    <t>Lookup CurrRate table</t>
  </si>
  <si>
    <t>ANG</t>
  </si>
  <si>
    <t>Affects rate table lookups</t>
  </si>
  <si>
    <t>Coverage</t>
  </si>
  <si>
    <t>'C' (Comprehensive), 'TP' (Third Party), 'SC' (Super Comp), 'LAR' (Ltd All Risk), 'TPC'</t>
  </si>
  <si>
    <t>Required. Drives BasicPremium path</t>
  </si>
  <si>
    <t>C</t>
  </si>
  <si>
    <t>See Sheet 8 for full coverage code list</t>
  </si>
  <si>
    <t>Vehicle Value</t>
  </si>
  <si>
    <t>VehicleValue</t>
  </si>
  <si>
    <t>decimal</t>
  </si>
  <si>
    <t>&gt; 0</t>
  </si>
  <si>
    <t>Required; numeric</t>
  </si>
  <si>
    <t>—</t>
  </si>
  <si>
    <t>Used to lookup AbcTprate and Coverage.Loadperc</t>
  </si>
  <si>
    <t>Vehicle Use</t>
  </si>
  <si>
    <t>VehicleUse</t>
  </si>
  <si>
    <t>PR, CP, BS, SB, HD, TX, RN, GL, GS, HB, MC</t>
  </si>
  <si>
    <t>Lookup NVehUse table for CUR</t>
  </si>
  <si>
    <t>PR</t>
  </si>
  <si>
    <t>Commercial codes auto-set AALD=true</t>
  </si>
  <si>
    <t>Engine Size</t>
  </si>
  <si>
    <t>EngineSize</t>
  </si>
  <si>
    <t>int (enum value)</t>
  </si>
  <si>
    <t>1599 = &lt;1600cc, 1601 = ≥1600cc, 51 = MC&gt;50cc, 49 = MC&lt;50cc</t>
  </si>
  <si>
    <t>Required for TP only</t>
  </si>
  <si>
    <t>1601</t>
  </si>
  <si>
    <t>Only relevant for SMD/SMF TP; CUR uses flat TP rate table</t>
  </si>
  <si>
    <t>Vehicle Type</t>
  </si>
  <si>
    <t>VehicleType</t>
  </si>
  <si>
    <t>Car, Van, MotorCycle, Truck, Bus, etc.</t>
  </si>
  <si>
    <t>Lookup Vtype table</t>
  </si>
  <si>
    <t>Car</t>
  </si>
  <si>
    <t>MotorCycle + CUR triggers HB/LAR path in GetPremRateABC</t>
  </si>
  <si>
    <t>Period (months)</t>
  </si>
  <si>
    <t>Period</t>
  </si>
  <si>
    <t>int</t>
  </si>
  <si>
    <t>12, 9, 6, 3</t>
  </si>
  <si>
    <t>Must match PremiumRateCode</t>
  </si>
  <si>
    <t>12</t>
  </si>
  <si>
    <t>12 = annual (1Y)</t>
  </si>
  <si>
    <t>Short Period</t>
  </si>
  <si>
    <t>ShortPeriod</t>
  </si>
  <si>
    <t>bool</t>
  </si>
  <si>
    <t>true / false</t>
  </si>
  <si>
    <t>If true, ShortPeriod_Perc must be supplied</t>
  </si>
  <si>
    <t>false</t>
  </si>
  <si>
    <t>Overrides standard period factor</t>
  </si>
  <si>
    <t>Short Period %</t>
  </si>
  <si>
    <t>ShortPeriod_Perc</t>
  </si>
  <si>
    <t>0–100</t>
  </si>
  <si>
    <t>Required if ShortPeriod=true</t>
  </si>
  <si>
    <t>0</t>
  </si>
  <si>
    <t>GrossPremium = YearPremium × (ShortPeriod_Perc/100)</t>
  </si>
  <si>
    <t>Premium Rate Code</t>
  </si>
  <si>
    <t>PremiumRateCode</t>
  </si>
  <si>
    <t>'1Y','6M','1Q','3M50','9M50','3M','6M1','6M2'</t>
  </si>
  <si>
    <t>Must align with Period</t>
  </si>
  <si>
    <t>1Y</t>
  </si>
  <si>
    <t>Determines period multiplier used in CalcNoOverride</t>
  </si>
  <si>
    <t>Insured's Sex</t>
  </si>
  <si>
    <t>InsuredSex</t>
  </si>
  <si>
    <t>enum Gender</t>
  </si>
  <si>
    <t>Gender.M, Gender.F</t>
  </si>
  <si>
    <t>Gender.M</t>
  </si>
  <si>
    <t>Used in some territory age lookups (not CUR BasicPremium)</t>
  </si>
  <si>
    <t>Age Category</t>
  </si>
  <si>
    <t>AgeCat</t>
  </si>
  <si>
    <t>0 = under 25, 26+ = over 25, 31 = over 30</t>
  </si>
  <si>
    <t>Map from dropdown: 'Over 30'→31, '25+'→26, 'Under 25'→0</t>
  </si>
  <si>
    <t>31</t>
  </si>
  <si>
    <t>CUR uses ≤25 threshold for AgeCat in GetPremRateABC</t>
  </si>
  <si>
    <t>Driving Experience</t>
  </si>
  <si>
    <t>DriverExp</t>
  </si>
  <si>
    <t>0 = &lt;2 yrs, 3 = &gt;2 yrs</t>
  </si>
  <si>
    <t>Map from dropdown</t>
  </si>
  <si>
    <t>3</t>
  </si>
  <si>
    <t>DriverExp&lt;2 triggers InexperiencedDriver surcharge</t>
  </si>
  <si>
    <t>No Claim Discount %</t>
  </si>
  <si>
    <t>NCD</t>
  </si>
  <si>
    <t>0–60 (max per coverage)</t>
  </si>
  <si>
    <t>Must not exceed Coverage.Maxncd</t>
  </si>
  <si>
    <t>Raw integer e.g. 35 → divide by 100 inside code</t>
  </si>
  <si>
    <t>Rental Vehicle</t>
  </si>
  <si>
    <t>Rental</t>
  </si>
  <si>
    <t>Switches BasicPremium to Rentalperc path</t>
  </si>
  <si>
    <t>No Override (Basic Prem)</t>
  </si>
  <si>
    <t>NoOverride</t>
  </si>
  <si>
    <t>If true, BasicPremium is taken from UI input unchanged</t>
  </si>
  <si>
    <t>Bypasses all automated BasicPremium calc</t>
  </si>
  <si>
    <t>Basic Premium (manual)</t>
  </si>
  <si>
    <t>BasicPremium</t>
  </si>
  <si>
    <t>≥ 0</t>
  </si>
  <si>
    <t>Only used when NoOverride=true</t>
  </si>
  <si>
    <t>Editable when NoOverride is checked</t>
  </si>
  <si>
    <t>Rate Up %</t>
  </si>
  <si>
    <t>RateUp</t>
  </si>
  <si>
    <t>double</t>
  </si>
  <si>
    <t>Optional surcharge percentage</t>
  </si>
  <si>
    <t>RateUpAmt = BasicPremium × (RateUp/100)</t>
  </si>
  <si>
    <t>AALD</t>
  </si>
  <si>
    <t>Auto-set true for commercial uses</t>
  </si>
  <si>
    <t>Any Authorised Licensed Driver surcharge</t>
  </si>
  <si>
    <t>Foreign License</t>
  </si>
  <si>
    <t>ForLicense</t>
  </si>
  <si>
    <t>Surcharge: tmpBasicPremium × (Forlicense%/100)</t>
  </si>
  <si>
    <t>Fleet Discount</t>
  </si>
  <si>
    <t>FleetDiscount</t>
  </si>
  <si>
    <t>Capped: NCD + FleetDisc% must not exceed Coverage.Maxncd</t>
  </si>
  <si>
    <t>Fleet discount % from PremVar.Fleetdisc</t>
  </si>
  <si>
    <t>Agent/Staff Discount</t>
  </si>
  <si>
    <t>StaffDiscount</t>
  </si>
  <si>
    <t>20% for agent staff; full Staffdisc% for direct NAGICO (NON/EMP)</t>
  </si>
  <si>
    <t>Management Discount %</t>
  </si>
  <si>
    <t>ManagDisc</t>
  </si>
  <si>
    <t>Free-form entry, supervisor approval</t>
  </si>
  <si>
    <t>Applied after Staff Discount on running total</t>
  </si>
  <si>
    <t>New Vehicle Discount</t>
  </si>
  <si>
    <t>NewVehDiscount</t>
  </si>
  <si>
    <t>Can be overridden with DontOverrideNVD</t>
  </si>
  <si>
    <t>Auto-percent from Sys.Newvehdisc; capped by Coverage.Maxncd</t>
  </si>
  <si>
    <t>Don't Override NVD</t>
  </si>
  <si>
    <t>DontOverrideNVD</t>
  </si>
  <si>
    <t>If true, NVDPerc is used instead of auto-calc</t>
  </si>
  <si>
    <t>NVD Override %</t>
  </si>
  <si>
    <t>NVDPerc</t>
  </si>
  <si>
    <t>Required if DontOverrideNVD=true</t>
  </si>
  <si>
    <t>Manual new vehicle discount percentage</t>
  </si>
  <si>
    <t>Passenger Liability Seats</t>
  </si>
  <si>
    <t>PassLiab</t>
  </si>
  <si>
    <t>0–99 (seat count)</t>
  </si>
  <si>
    <t>PassLiabAmt = PassLiab × PremVar.Passliab</t>
  </si>
  <si>
    <t>Add. TP Liability</t>
  </si>
  <si>
    <t>AddTPL</t>
  </si>
  <si>
    <t>Derived from LiabilityVar table</t>
  </si>
  <si>
    <t>Looked up by Liability string + Territory</t>
  </si>
  <si>
    <t>For CUR: AddTPL = BasicPremium × liabilityVarList[0].Value</t>
  </si>
  <si>
    <t>Liability (string)</t>
  </si>
  <si>
    <t>Liability</t>
  </si>
  <si>
    <t>e.g. 'Naf 200,000.00', 'Naf 500,000.00'</t>
  </si>
  <si>
    <t>Lookup LiabilityVar table for CUR</t>
  </si>
  <si>
    <t>Drives AddTPL calculation</t>
  </si>
  <si>
    <t>Tools of Trade</t>
  </si>
  <si>
    <t>ToolsOfTrade</t>
  </si>
  <si>
    <t>Flat amount (NAf)</t>
  </si>
  <si>
    <t>Manual entry</t>
  </si>
  <si>
    <t>Added to tmpBasicPremium before discounts</t>
  </si>
  <si>
    <t>Extra Coverage 1</t>
  </si>
  <si>
    <t>ExtraCoverage1</t>
  </si>
  <si>
    <t>Flat amount</t>
  </si>
  <si>
    <t>Added after NCD to NetPremium</t>
  </si>
  <si>
    <t>Extra Coverage 2</t>
  </si>
  <si>
    <t>ExtraCoverage2</t>
  </si>
  <si>
    <t>Campaigns</t>
  </si>
  <si>
    <t>Amount or %</t>
  </si>
  <si>
    <t>If isPercentageCampaign=true: % of (DiscPrem+PassLiab+Extra)</t>
  </si>
  <si>
    <t>Is % Campaign</t>
  </si>
  <si>
    <t>isPercentageCampaign</t>
  </si>
  <si>
    <t>Switch between flat and % campaign</t>
  </si>
  <si>
    <t>Policy Fee</t>
  </si>
  <si>
    <t>Policyfee</t>
  </si>
  <si>
    <t>From Sys table (fixed per territory)</t>
  </si>
  <si>
    <t>23.00 (CUR)</t>
  </si>
  <si>
    <t>Added to NetPremium for TotalPremium</t>
  </si>
  <si>
    <t>Gov Tax %</t>
  </si>
  <si>
    <t>GovTax</t>
  </si>
  <si>
    <t>From Sys table</t>
  </si>
  <si>
    <t>0 (CUR has 0)</t>
  </si>
  <si>
    <t>GovTax = (NetPremium + PolicyFee) × GovTax%</t>
  </si>
  <si>
    <t>Gov VAT %</t>
  </si>
  <si>
    <t>GovVAT</t>
  </si>
  <si>
    <t>0 (CUR)</t>
  </si>
  <si>
    <t>GovVAT = (Net+Fee+Tax) × GovVAT%</t>
  </si>
  <si>
    <t>NRSA</t>
  </si>
  <si>
    <t>Added directly to TotalPremium</t>
  </si>
  <si>
    <t>Effective Date</t>
  </si>
  <si>
    <t>EffectiveDate</t>
  </si>
  <si>
    <t>DateTime</t>
  </si>
  <si>
    <t>Valid date</t>
  </si>
  <si>
    <t>Today</t>
  </si>
  <si>
    <t>Used for CompRateUpdates lookup</t>
  </si>
  <si>
    <t>Application Date</t>
  </si>
  <si>
    <t>ApplicationDate</t>
  </si>
  <si>
    <t>Defaults to EffectiveDate if null</t>
  </si>
  <si>
    <t>Is New Policy</t>
  </si>
  <si>
    <t>IsNew</t>
  </si>
  <si>
    <t>NEW vs REN for CompRateUpdates</t>
  </si>
  <si>
    <t>Policy Type</t>
  </si>
  <si>
    <t>PolType</t>
  </si>
  <si>
    <t>'V', 'V00', 'RNT'</t>
  </si>
  <si>
    <t>V</t>
  </si>
  <si>
    <t>Used in CompRateUpdates query</t>
  </si>
  <si>
    <t>Vehicle Year</t>
  </si>
  <si>
    <t>VehicleYear</t>
  </si>
  <si>
    <t>e.g. 2010–2025</t>
  </si>
  <si>
    <t>Used for age-based rate-up via VehicleTypes table</t>
  </si>
  <si>
    <t>If yearDiff ≥ Rateupyear: auto-apply Rateupperc</t>
  </si>
  <si>
    <t>Don't Increase NCD</t>
  </si>
  <si>
    <t>DontIncreaseNCD</t>
  </si>
  <si>
    <t>UI checkbox</t>
  </si>
  <si>
    <t>Informational only; does not affect calc in this module</t>
  </si>
  <si>
    <t>Add/Refund Amount</t>
  </si>
  <si>
    <t>AddRefPrem</t>
  </si>
  <si>
    <t>bool / decimal</t>
  </si>
  <si>
    <t>If true, skips AALD/LicExp/ForLicense loading</t>
  </si>
  <si>
    <t>STEP 1 – BASIC PREMIUM DERIVATION  (GetPremRateABC)  |  Territory: CUR</t>
  </si>
  <si>
    <t>This is the FIRST method called for CUR. It computes BasicPremium, then passes request to CalcNoOverride().</t>
  </si>
  <si>
    <t>A. COVERAGE ROUTING (switch on request.Coverage)</t>
  </si>
  <si>
    <t>Step</t>
  </si>
  <si>
    <t>Coverage Case</t>
  </si>
  <si>
    <t>Calculation Logic</t>
  </si>
  <si>
    <t>Formula / Pseudocode</t>
  </si>
  <si>
    <t>DB Table(s) Used</t>
  </si>
  <si>
    <t>1a</t>
  </si>
  <si>
    <t>TP  (Third Party)
LAR (Ltd All Risk)</t>
  </si>
  <si>
    <t>Lookup AbcTprate by VehicleValue and Territory. BasicPremium = table premium.</t>
  </si>
  <si>
    <t>WHERE TOSUMINS &gt;= VehicleValue AND Territory='CUR'
SELECT MIN(Premium)
BasicPremium = abcTPRateList[0].Premium</t>
  </si>
  <si>
    <t>AbcTprate</t>
  </si>
  <si>
    <t>For HB/MotorCycle+LAR: also filter VehCat = Coverage</t>
  </si>
  <si>
    <t>1b</t>
  </si>
  <si>
    <t>TP  – VehicleUse surcharge</t>
  </si>
  <si>
    <t>After TP lookup, apply NVehUse loading percentage.</t>
  </si>
  <si>
    <t>NVehUse lookup: VuseID = VehicleUse AND Territory = 'CUR'
BasicPremium += BasicPremium × NVehUse.Loadperc</t>
  </si>
  <si>
    <t>NVehUse</t>
  </si>
  <si>
    <t>Loading may be 0 for standard uses</t>
  </si>
  <si>
    <t>1c</t>
  </si>
  <si>
    <t>TPC (Third Party Comp)</t>
  </si>
  <si>
    <t>BasicPremium = VehicleValue × Coverage.Loadperc
Then apply NVehUse surcharge.</t>
  </si>
  <si>
    <t>Coverage WHERE CoverageCode='TPC' AND Territory='CUR'
BasicPremium = VehicleValue × coverageList[0].Loadperc
BasicPremium += BasicPremium × NVehUse.Loadperc</t>
  </si>
  <si>
    <t>Coverage, NVehUse</t>
  </si>
  <si>
    <t>IsNew+ARU gets extra 5% – NOT applicable to CUR</t>
  </si>
  <si>
    <t>1d</t>
  </si>
  <si>
    <t>C  (Comprehensive)
SC (Super Comp)</t>
  </si>
  <si>
    <t>BasicPremium = VehicleValue × Coverage.Loadperc
Then apply NVehUse surcharge.
For SC: also multiply by (1 + Coverage.Replacementvalue).</t>
  </si>
  <si>
    <t>Coverage WHERE CoverageCode='C' AND Territory='CUR'
BasicPremium = VehicleValue × Loadperc
BasicPremium += BasicPremium × NVehUse.Loadperc
If SC: BasicPremium += BasicPremium × Replacementvalue</t>
  </si>
  <si>
    <t>SC surcharge % stored in Coverage.Replacementvalue field</t>
  </si>
  <si>
    <t>1e</t>
  </si>
  <si>
    <t>Rate Increase (all coverages)</t>
  </si>
  <si>
    <t>After BasicPremium computed: query CompRateUpdates for any applicable rate increase.</t>
  </si>
  <si>
    <t>SELECT Rate FROM CompRateUpdates
WHERE CountryCode='CUR' AND PolType=polType
  AND CoverageCode=coverage AND Date_Effective &lt;= EffDate
  AND TrxCode = (IsNew ? 'NEW' : 'REN')
If found: BasicPremium += BasicPremium × Rate / 100</t>
  </si>
  <si>
    <t>CompRateUpdates</t>
  </si>
  <si>
    <t>Only one row expected; take first result</t>
  </si>
  <si>
    <t>1f</t>
  </si>
  <si>
    <t>Liability Add-on (CUR only)</t>
  </si>
  <si>
    <t>Lookup LiabilityVar by Liability string and Territory. Set AddTPL = BasicPremium × Value.</t>
  </si>
  <si>
    <t>LiabilityVar WHERE Amount=Liability AND Territory LIKE '%CUR%'
request.AddTPL = liabilityVarList[0].Value
response.AddTPL = BasicPremium × request.AddTPL</t>
  </si>
  <si>
    <t>LiabilityVar</t>
  </si>
  <si>
    <t>AddTPL is stored in request and passed forward to CalcNoOverride</t>
  </si>
  <si>
    <t>1g</t>
  </si>
  <si>
    <t>Rate Up (CUR only at this stage)</t>
  </si>
  <si>
    <t>CUR computes RateUP here (other territories do it in CalcNoOverride).</t>
  </si>
  <si>
    <t>RateUP = ROUND(BasicPremium × RateUp/100, 2)
RateUpAmt = RateUP
(BasicPremium itself is NOT yet increased here for CUR)</t>
  </si>
  <si>
    <t>Note: BasicPremium is then stored in request.BasicPremium and passed to CalcNoOverride</t>
  </si>
  <si>
    <t>1h</t>
  </si>
  <si>
    <t>Hand-off to CalcNoOverride</t>
  </si>
  <si>
    <t>request.BasicPremium = response.BasicPremium
Then: response = CalcNoOverride(request, true)</t>
  </si>
  <si>
    <t>All subsequent steps (loadings, discounts, period, NCD, fees) happen inside CalcNoOverride</t>
  </si>
  <si>
    <t>The 'true' flag (testOveride) enables liability lookups inside CalcNoOverride</t>
  </si>
  <si>
    <t>B. NoOverride = TRUE  (user has manually entered BasicPremium)</t>
  </si>
  <si>
    <t>If request.NoOverride == true</t>
  </si>
  <si>
    <t>Skip all BasicPremium computation above.</t>
  </si>
  <si>
    <t>BasicPremium = request.BasicPremium  (UI input value)</t>
  </si>
  <si>
    <t>User has manually set premium; no table lookups</t>
  </si>
  <si>
    <t>C. KEY DATABASE TABLES FOR BASIC PREMIUM</t>
  </si>
  <si>
    <t>Table Name</t>
  </si>
  <si>
    <t>Key Columns</t>
  </si>
  <si>
    <t>Purpose</t>
  </si>
  <si>
    <t>Filter for CUR</t>
  </si>
  <si>
    <t>Territory, TOSUMINS, VehCat, Premium</t>
  </si>
  <si>
    <t>TP base premium lookup</t>
  </si>
  <si>
    <t>Territory = 'CUR', TOSUMINS &gt;= VehicleValue</t>
  </si>
  <si>
    <t>One row per value band; pick first/min</t>
  </si>
  <si>
    <t>CoverageCode, Territory, Loadperc, Replacementvalue, Maxncd, Bonusmalus</t>
  </si>
  <si>
    <t>Premium rate % by coverage type</t>
  </si>
  <si>
    <t>CoverageCode = [C/SC/TPC etc.] AND Territory LIKE '%CUR%'</t>
  </si>
  <si>
    <t>Loadperc = % of VehicleValue for BasicPremium</t>
  </si>
  <si>
    <t>VuseID, Territory, Loadperc</t>
  </si>
  <si>
    <t>Vehicle use surcharge on TP/C premium</t>
  </si>
  <si>
    <t>VuseID = VehicleUse AND Territory = 'CUR'</t>
  </si>
  <si>
    <t>Loadperc added multiplicatively</t>
  </si>
  <si>
    <t>Amount, Territory, Value</t>
  </si>
  <si>
    <t>Additional TP liability loading factor</t>
  </si>
  <si>
    <t>Amount = Liability string AND Territory LIKE '%CUR%'</t>
  </si>
  <si>
    <t>Value is a multiplier on BasicPremium</t>
  </si>
  <si>
    <t>CountryCode, PolType, CoverageCode, Date_Effective, TrxCode, Rate</t>
  </si>
  <si>
    <t>Annual rate increase applied on top of BasicPremium</t>
  </si>
  <si>
    <t>CountryCode='CUR', Date_Effective &lt;= EffDate</t>
  </si>
  <si>
    <t>Rate is a percentage integer</t>
  </si>
  <si>
    <t>STEP 2 – LOADINGS &amp; DISCOUNTS  (CalcNoOverride – Part 1)  |  Territory: CUR</t>
  </si>
  <si>
    <t>Running total variable = tmpBasicPremium. Starts as BasicPremium + RateUpAmt. Each step updates tmpBasicPremium.</t>
  </si>
  <si>
    <t>Item</t>
  </si>
  <si>
    <t>Applied?</t>
  </si>
  <si>
    <t>Formula (Pseudocode)</t>
  </si>
  <si>
    <t>Source / Rate</t>
  </si>
  <si>
    <t>Result on tmpBasicPremium</t>
  </si>
  <si>
    <t>2.0</t>
  </si>
  <si>
    <t>Vehicle Age Rate-Up</t>
  </si>
  <si>
    <t>Auto: if (today.Year - VehicleYear) &gt;= VehicleTypes.Rateupyear AND NoOverride=false</t>
  </si>
  <si>
    <t>RateUp = VehicleTypes.Rateupperc (if condition met)
RateUpAmt = ROUND(BasicPremium × RateUp/100, 2)
(Already computed in GetPremRateABC for CUR but applies here too)</t>
  </si>
  <si>
    <t>VehicleTypes table:
Rateupyear, Rateupperc</t>
  </si>
  <si>
    <t>tmpBasicPremium = BasicPremium + RateUpAmt</t>
  </si>
  <si>
    <t>2.1</t>
  </si>
  <si>
    <t>AALD Auto-trigger</t>
  </si>
  <si>
    <t>Auto-set AALD=true if VehicleUse IN (BS,SB,CP,HD,TX,RN,GL,GS)
Also: if DriverExp &lt; 2 AND VehicleUse=PR → AALD = true</t>
  </si>
  <si>
    <t>No monetary effect yet; sets AALD flag which drives step 2.2</t>
  </si>
  <si>
    <t>Flag set only</t>
  </si>
  <si>
    <t>2.2a</t>
  </si>
  <si>
    <t>AALD Surcharge</t>
  </si>
  <si>
    <t>IF AALD=true AND DriverExp &gt; 2</t>
  </si>
  <si>
    <t>AALD_amount = ROUND(tmpBasicPremium × PremVar.Aald/100, 2)
tmpBasicPremium += AALD_amount</t>
  </si>
  <si>
    <t>PremVar.Aald (% from DB)
For CUR: typically 10%</t>
  </si>
  <si>
    <t>tmpBasicPremium increases</t>
  </si>
  <si>
    <t>2.2b</t>
  </si>
  <si>
    <t>Inexperienced Driver</t>
  </si>
  <si>
    <t>IF DriverExp &lt; 2 (mutually exclusive with 2.2a)
(Only if Rental = false)</t>
  </si>
  <si>
    <t>LicenseExp = ROUND(tmpBasicPremium × PremVar.Licexp/100, 2)
tmpBasicPremium += LicenseExp</t>
  </si>
  <si>
    <t>PremVar.Licexp (% from DB)</t>
  </si>
  <si>
    <t>2.3</t>
  </si>
  <si>
    <t>IF ForLicense = true AND Rental = false</t>
  </si>
  <si>
    <t>ForLicense_amt = ROUND(tmpBasicPremium × PremVar.Forlicense/100, 2)
tmpBasicPremium += ForLicense_amt</t>
  </si>
  <si>
    <t>PremVar.Forlicense (% from DB)
CUR: typically 20%</t>
  </si>
  <si>
    <t>2.4</t>
  </si>
  <si>
    <t>Always (if AddTPL &gt; 0). For CUR already set in GetPremRateABC via LiabilityVar table.</t>
  </si>
  <si>
    <t>response.AddTPL = request.AddTPL
tmpBasicPremium += AddTPL
(AddTPL = BasicPremium × liabilityVarList[0].Value)</t>
  </si>
  <si>
    <t>LiabilityVar table</t>
  </si>
  <si>
    <t>2.5</t>
  </si>
  <si>
    <t>IF ToolsOfTrade &gt; 0</t>
  </si>
  <si>
    <t>response.ToolsOfTrade = request.ToolsOfTrade
tmpBasicPremium += ToolsOfTrade  (flat NAf amount)</t>
  </si>
  <si>
    <t>Manual user input (flat amount)</t>
  </si>
  <si>
    <t>2.6</t>
  </si>
  <si>
    <t>IF FleetDiscount = true AND (NCD + PremVar.Fleetdisc) ≤ Coverage.Maxncd</t>
  </si>
  <si>
    <t>FleetDisc = ROUND(tmpBasicPremium × PremVar.Fleetdisc/100, 2)
tmpBasicPremium -= FleetDisc
If (NCD + Fleetdisc%) &gt; Maxncd: FleetDiscount suppressed (= 0)</t>
  </si>
  <si>
    <t>PremVar.Fleetdisc (% from DB)</t>
  </si>
  <si>
    <t>tmpBasicPremium DECREASES</t>
  </si>
  <si>
    <t>2.7</t>
  </si>
  <si>
    <t>Staff Discount</t>
  </si>
  <si>
    <t>IF StaffDiscount = true</t>
  </si>
  <si>
    <t>If MasterAgentCode IN ('NON','EMP'):  → full Staffdisc%
Else (agent staff):  → 20% hardcoded
StaffDisc = ROUND(tmpBasicPremium × rate/100, 2)
tmpBasicPremium -= StaffDisc</t>
  </si>
  <si>
    <t>PremVar.Staffdisc OR hardcoded 20%</t>
  </si>
  <si>
    <t>2.8</t>
  </si>
  <si>
    <t>Management Discount</t>
  </si>
  <si>
    <t>IF ManagDisc &gt; 0</t>
  </si>
  <si>
    <t>ManagDisc_amt = ROUND(tmpBasicPremium × ManagDisc/100, 2)
tmpBasicPremium -= ManagDisc_amt</t>
  </si>
  <si>
    <t>User-entered ManagDisc% (double)</t>
  </si>
  <si>
    <t>2.9</t>
  </si>
  <si>
    <t>YearPremium</t>
  </si>
  <si>
    <t>Always (end of loading/discount block)</t>
  </si>
  <si>
    <t>YearPremium = tmpBasicPremium
GrossPremium = YearPremium</t>
  </si>
  <si>
    <t>Result snapshot before period adjustment</t>
  </si>
  <si>
    <t>DATABASE TABLES FOR LOADINGS &amp; DISCOUNTS</t>
  </si>
  <si>
    <t>Table</t>
  </si>
  <si>
    <t>Key Fields</t>
  </si>
  <si>
    <t>PremVar</t>
  </si>
  <si>
    <t>Territory, Id (VehicleUse), Coverage, Aald, Licexp, Forlicense, Fleetdisc, Staffdisc, AgentStaffdisc, Passliab, Quarterlyperc, Halfyearlyperc, Charge</t>
  </si>
  <si>
    <t>Main rates table – all loading/discount % for CUR by VehicleUse + Coverage</t>
  </si>
  <si>
    <t>VehicleTypes</t>
  </si>
  <si>
    <t>Territory, VehicleType, Rateupyear, Rateupperc</t>
  </si>
  <si>
    <t>Auto rate-up for older vehicles</t>
  </si>
  <si>
    <t>CoverageCode, Territory, Maxncd, Bonusmalus</t>
  </si>
  <si>
    <t>Max NCD cap – used to suppress Fleet discount if combined &gt; Maxncd</t>
  </si>
  <si>
    <t>STEP 3 – PERIOD ADJUSTMENT &amp; NCD  (CalcNoOverride – Part 2)  |  Territory: CUR</t>
  </si>
  <si>
    <t>Input: YearPremium (= GrossPremium at this stage). Output: GrossPremium (period-adjusted) and DiscountPremium.</t>
  </si>
  <si>
    <t>A. PERIOD ADJUSTMENT — converts YearPremium to period-correct GrossPremium</t>
  </si>
  <si>
    <t>Rate Code</t>
  </si>
  <si>
    <t>Condition</t>
  </si>
  <si>
    <t>Formula</t>
  </si>
  <si>
    <t>Factor Source</t>
  </si>
  <si>
    <t>Result</t>
  </si>
  <si>
    <t>Period = 12 (full year)</t>
  </si>
  <si>
    <t>GrossPremium = YearPremium</t>
  </si>
  <si>
    <t>No change</t>
  </si>
  <si>
    <t>6M</t>
  </si>
  <si>
    <t>6</t>
  </si>
  <si>
    <t>Period &lt; 12 AND ShortPeriod=false</t>
  </si>
  <si>
    <t>GrossPremium = ROUND(YearPremium × PremVar.Halfyearlyperc/100, 2)
  (For CUR: PassLiab for 6M → divide by 2, not Halfyearlyperc)</t>
  </si>
  <si>
    <t>PremVar.Halfyearlyperc</t>
  </si>
  <si>
    <t>~60% of annual</t>
  </si>
  <si>
    <t>1Q</t>
  </si>
  <si>
    <t>GrossPremium = ROUND(YearPremium × PremVar.Quarterlyperc/100, 2)</t>
  </si>
  <si>
    <t>PremVar.Quarterlyperc</t>
  </si>
  <si>
    <t>~30% of annual</t>
  </si>
  <si>
    <t>3M50</t>
  </si>
  <si>
    <t>GrossPremium = ROUND(YearPremium / 2, 2)</t>
  </si>
  <si>
    <t>Hardcoded: /2</t>
  </si>
  <si>
    <t>50% of annual</t>
  </si>
  <si>
    <t>9M50</t>
  </si>
  <si>
    <t>9</t>
  </si>
  <si>
    <t>3M</t>
  </si>
  <si>
    <t>GrossPremium = ROUND(YearPremium × 0.4, 2)</t>
  </si>
  <si>
    <t>Hardcoded: 40%</t>
  </si>
  <si>
    <t>40% of annual</t>
  </si>
  <si>
    <t>6M1</t>
  </si>
  <si>
    <t>6 (1st tranche)</t>
  </si>
  <si>
    <t>GrossPremium = ROUND(YearPremium × 0.7, 2)</t>
  </si>
  <si>
    <t>Hardcoded: 70%</t>
  </si>
  <si>
    <t>70% of annual</t>
  </si>
  <si>
    <t>6M2</t>
  </si>
  <si>
    <t>6 (2nd tranche)</t>
  </si>
  <si>
    <t>GrossPremium = ROUND(YearPremium × 0.3, 2)</t>
  </si>
  <si>
    <t>Hardcoded: 30%</t>
  </si>
  <si>
    <t>30% of annual</t>
  </si>
  <si>
    <t>Variable</t>
  </si>
  <si>
    <t>ShortPeriod = true (overrides above)</t>
  </si>
  <si>
    <t>GrossPremium = (YearPremium × ShortPeriod_Perc) / 100</t>
  </si>
  <si>
    <t>ShortPeriod_Perc from UI</t>
  </si>
  <si>
    <t>Custom %</t>
  </si>
  <si>
    <t>B. NCD (NO CLAIM DISCOUNT) CALCULATION</t>
  </si>
  <si>
    <t>Example (NCD=35%)</t>
  </si>
  <si>
    <t>3.1</t>
  </si>
  <si>
    <t>NCD% &gt; 0</t>
  </si>
  <si>
    <t>NCD = GrossPremium × (NCD/100)
[NCD is passed as raw integer e.g. 35]</t>
  </si>
  <si>
    <t>NCD = 1425.90 × 0.35 = 499.07</t>
  </si>
  <si>
    <t>Note: some other territories use (1 – NCD%) form; CUR uses divide-by-100</t>
  </si>
  <si>
    <t>3.2</t>
  </si>
  <si>
    <t>Always</t>
  </si>
  <si>
    <t>DiscountPremium = ROUND(GrossPremium – NCD, 2)</t>
  </si>
  <si>
    <t>DiscountPremium = 1425.90 – 499.07 = 926.83</t>
  </si>
  <si>
    <t>This is the post-NCD premium</t>
  </si>
  <si>
    <t>3.3</t>
  </si>
  <si>
    <t>NewVehDiscount=true AND DontOverrideNVD=false</t>
  </si>
  <si>
    <t>If (100 – Sys.Newvehdisc×100) + NCD ≤ Maxncd:
  NewVehDiscPerc = 100 – (Sys.Newvehdisc×100)
  NewVehDiscValue = DiscountPremium – ROUND(DiscountPremium × Sys.Newvehdisc, 2)
Else: NewVehDiscValue = 0 (cap reached)</t>
  </si>
  <si>
    <t>Sys.Newvehdisc is stored as a decimal e.g. 0.70; so 100–0.70×100 = 30%</t>
  </si>
  <si>
    <t>3.4</t>
  </si>
  <si>
    <t>DontOverrideNVD = true</t>
  </si>
  <si>
    <t>NewVehDiscPerc = NVDPerc (manual)
NewVehDiscValue = ROUND(DiscountPremium × NVDPerc/100, 2)</t>
  </si>
  <si>
    <t>Manual override of new vehicle discount</t>
  </si>
  <si>
    <t>STEP 4 – PASS. LIABILITY, EXTRA COVERAGE, FEES, TAX &amp; TOTAL PREMIUM  (CalcNoOverride – Part 3)</t>
  </si>
  <si>
    <t>Input: DiscountPremium, NewVehDiscValue. Output: NetPremium → TotalPremium</t>
  </si>
  <si>
    <t>Output Field</t>
  </si>
  <si>
    <t>CUR Value (example)</t>
  </si>
  <si>
    <t>4.1</t>
  </si>
  <si>
    <t>PassLiab (amount)</t>
  </si>
  <si>
    <t>PassLiab (seat count) &gt; 0</t>
  </si>
  <si>
    <t>PassLiab_amt = ROUND(PassLiab_seats × PremVar.Passliab, 2)
Period adjust:
  1Y  → no change
  6M  → PassLiab_amt / 2  (CUR-specific!)
  1Q  → PassLiab_amt × Quarterlyperc/100
  3M50/9M50 → PassLiab_amt / 2
ShortPeriod → PassLiab_amt × ShortPeriod_Perc/100</t>
  </si>
  <si>
    <t>PremVar.Passliab (per seat, flat amount)</t>
  </si>
  <si>
    <t>e.g. 3 seats × 5.00 = 15.00 → period-adj</t>
  </si>
  <si>
    <t>4.2</t>
  </si>
  <si>
    <t>CampaignAmt</t>
  </si>
  <si>
    <t>Always (Campaigns input)</t>
  </si>
  <si>
    <t>IF isPercentageCampaign:
  CampaignAmt = (DiscountPremium – NewVehDiscValue + PassLiab_amt + ExtraCoverage1 + ExtraCoverage2) × Campaigns/100
ELSE:
  CampaignAmt = Campaigns (flat)</t>
  </si>
  <si>
    <t>Campaigns field from UI</t>
  </si>
  <si>
    <t>0.00 (if no campaign)</t>
  </si>
  <si>
    <t>4.3</t>
  </si>
  <si>
    <t>NetPremium</t>
  </si>
  <si>
    <t>NetPremium = DiscountPremium – NewVehDiscValue + PassLiab_amt + ExtraCoverage1 + ExtraCoverage2 + CampaignAmt</t>
  </si>
  <si>
    <t>Computed</t>
  </si>
  <si>
    <t>Screen: 1,027.94</t>
  </si>
  <si>
    <t>4.4</t>
  </si>
  <si>
    <t>Minimum Premium check</t>
  </si>
  <si>
    <t>MinimumPremium table lookup</t>
  </si>
  <si>
    <t>Find MinimumPremium WHERE PolTyp=PolType AND string1=Coverage AND string2 LIKE '%'+VehicleUse+'%'
If found:
  1Y: if NetPremium &lt; minprem → NetPremium = minprem
  6M/3M50/9M50: if NetPremium &lt; minprem/2 → use minprem/2
  1Q: if NetPremium &lt; minprem/4 → use minprem/4</t>
  </si>
  <si>
    <t>MinimumPremium table</t>
  </si>
  <si>
    <t>Applied if NetPremium below floor</t>
  </si>
  <si>
    <t>4.5</t>
  </si>
  <si>
    <t>PolicyFee</t>
  </si>
  <si>
    <t>PolicyFee = request.Policyfee  (from Sys table for CUR)</t>
  </si>
  <si>
    <t>Sys.Policyfee (CUR)</t>
  </si>
  <si>
    <t>23.00</t>
  </si>
  <si>
    <t>4.6</t>
  </si>
  <si>
    <t>GovTax% &gt; 0 in request</t>
  </si>
  <si>
    <t>GovTax = ROUND((NetPremium + PolicyFee) × GovTax, 2)
For CUR: GovTax is 0 (no government tax)
For SLU: GovTax = NetPremium × GovTax (different base)
For BAH: special rounding to nearest 0.05</t>
  </si>
  <si>
    <t>Sys.GovTax (CUR = 0)</t>
  </si>
  <si>
    <t>0.00</t>
  </si>
  <si>
    <t>4.7</t>
  </si>
  <si>
    <t>GovVAT% &gt; 0</t>
  </si>
  <si>
    <t>GovVAT = ROUND((NetPremium + PolicyFee + GovTax) × GovVAT, 2)
For CUR: GovVAT = 0</t>
  </si>
  <si>
    <t>Sys.GovVAT (CUR = 0)</t>
  </si>
  <si>
    <t>4.8</t>
  </si>
  <si>
    <t>NRSA = request.NRSA  (from Sys table; often 0 for CUR)</t>
  </si>
  <si>
    <t>Sys.NRSA</t>
  </si>
  <si>
    <t>4.9</t>
  </si>
  <si>
    <t>TotalPremium</t>
  </si>
  <si>
    <t>FINAL</t>
  </si>
  <si>
    <t>TotalPremium = NetPremium + PolicyFee + NRSA + GovTax + GovVAT
(+ BahEndorsements: 0 for CUR)
Rounding note: CUR does NOT use the EC$ 0.05 rounding (that is for GRE/SKT/NEV/MON/SLU/DOM/ANG only)</t>
  </si>
  <si>
    <t>Sum of all components</t>
  </si>
  <si>
    <t>1,050.94</t>
  </si>
  <si>
    <t>TOTAL PREMIUM ASSEMBLY FORMULA (CUR)</t>
  </si>
  <si>
    <t>=</t>
  </si>
  <si>
    <t>DiscountPremium – NewVehDiscValue + PassLiab + ExtraCoverage1 + ExtraCoverage2 + CampaignAmt</t>
  </si>
  <si>
    <t>NetPremium + PolicyFee + NRSA + GovTax + GovVAT</t>
  </si>
  <si>
    <t>(GovTax = 0 and GovVAT = 0 for CUR; NRSA = 0 typically)</t>
  </si>
  <si>
    <t>WORKED EXAMPLE  –  Matching Legacy Screen Output</t>
  </si>
  <si>
    <t>Values taken from the attached screenshot. Use this as the acceptance test case for the new web calculator.</t>
  </si>
  <si>
    <t>INPUT VALUES (PremiumRequest)</t>
  </si>
  <si>
    <t>Input Field</t>
  </si>
  <si>
    <t>Value</t>
  </si>
  <si>
    <t>Island = Curaçao</t>
  </si>
  <si>
    <t>NAf / Guilder</t>
  </si>
  <si>
    <t>Comprehensive</t>
  </si>
  <si>
    <t>9,841.50</t>
  </si>
  <si>
    <t>NAf</t>
  </si>
  <si>
    <t>CP</t>
  </si>
  <si>
    <t>Commercial Private</t>
  </si>
  <si>
    <t>Upto1600CC → 1599</t>
  </si>
  <si>
    <t>&lt;1600cc flag</t>
  </si>
  <si>
    <t>Van</t>
  </si>
  <si>
    <t>12 months (1Y)</t>
  </si>
  <si>
    <t>Full year</t>
  </si>
  <si>
    <t>Insured Sex</t>
  </si>
  <si>
    <t>Male (Gender.M)</t>
  </si>
  <si>
    <t>Over 30 → AgeCat = 31</t>
  </si>
  <si>
    <t>More than 2 years → DriverExp = 3</t>
  </si>
  <si>
    <t>35</t>
  </si>
  <si>
    <t>Deductible</t>
  </si>
  <si>
    <t>350.00</t>
  </si>
  <si>
    <t>Informational only</t>
  </si>
  <si>
    <t>Clause</t>
  </si>
  <si>
    <t>SEE CLAUSE C</t>
  </si>
  <si>
    <t>XCG 3,600,000.00 (Commercial)</t>
  </si>
  <si>
    <t>Drives AddTPL lookup</t>
  </si>
  <si>
    <t>No Override</t>
  </si>
  <si>
    <t>true (auto, CP use)</t>
  </si>
  <si>
    <t>Commercial use auto-triggers</t>
  </si>
  <si>
    <t>New Veh Discount</t>
  </si>
  <si>
    <t>→ 3 × PremVar.Passliab</t>
  </si>
  <si>
    <t>Extra Coverage</t>
  </si>
  <si>
    <t>86.11</t>
  </si>
  <si>
    <t>Shown on screen</t>
  </si>
  <si>
    <t>CUR Sys value</t>
  </si>
  <si>
    <t>CUR = no tax</t>
  </si>
  <si>
    <t>CUR = no VAT</t>
  </si>
  <si>
    <t>CALCULATION TRACE (Step-by-Step)</t>
  </si>
  <si>
    <t>Amount (NAf)</t>
  </si>
  <si>
    <t>Running Total (tmpBasicPremium)</t>
  </si>
  <si>
    <t>Screen Field</t>
  </si>
  <si>
    <t>1</t>
  </si>
  <si>
    <t>BasicPremium from Coverage table
(VehicleValue 9841.50 × Coverage.Loadperc for 'C', CUR)</t>
  </si>
  <si>
    <t>1,425.90</t>
  </si>
  <si>
    <t>Basic Premium</t>
  </si>
  <si>
    <t>2</t>
  </si>
  <si>
    <t>Rate Increase (CompRateUpdates – assumed 0 for this example)</t>
  </si>
  <si>
    <t>Rate Up (0%)</t>
  </si>
  <si>
    <t>Rate up %</t>
  </si>
  <si>
    <t>4</t>
  </si>
  <si>
    <t>Liability AddTPL (XCG 3,600,000 – assumed factor 0 for std liability)</t>
  </si>
  <si>
    <t>5</t>
  </si>
  <si>
    <t>YearPremium = 1,425.90 (no AALD% for CP in this example – check PremVar)</t>
  </si>
  <si>
    <t>Year Premium</t>
  </si>
  <si>
    <t>GrossPremium = YearPremium (Period = 12, full year)</t>
  </si>
  <si>
    <t>Gross Premium</t>
  </si>
  <si>
    <t>7</t>
  </si>
  <si>
    <t>NCD = 1,425.90 × 35/100 = 499.07</t>
  </si>
  <si>
    <t>–499.07</t>
  </si>
  <si>
    <t>No Claim Disc.</t>
  </si>
  <si>
    <t>8</t>
  </si>
  <si>
    <t>DiscountPremium = 1,425.90 – 499.07</t>
  </si>
  <si>
    <t>926.83</t>
  </si>
  <si>
    <t>Disc. Premium</t>
  </si>
  <si>
    <t>NewVehDiscValue = 0 (no new veh discount)</t>
  </si>
  <si>
    <t>10</t>
  </si>
  <si>
    <t>PassLiab = 3 seats × PremVar.Passliab (see PremVar table; 5.00/seat assumed)</t>
  </si>
  <si>
    <t>15.00</t>
  </si>
  <si>
    <t>Pass. Liab</t>
  </si>
  <si>
    <t>11</t>
  </si>
  <si>
    <t>ExtraCoverage1 = 86.11 (user entry)</t>
  </si>
  <si>
    <t>CampaignAmt = 0</t>
  </si>
  <si>
    <t>13</t>
  </si>
  <si>
    <t>NetPremium = 926.83 – 0 + 15.00 + 86.11 + 0</t>
  </si>
  <si>
    <t>1,027.94</t>
  </si>
  <si>
    <t>Net Prem.</t>
  </si>
  <si>
    <t>14</t>
  </si>
  <si>
    <t>PolicyFee (CUR from Sys table)</t>
  </si>
  <si>
    <t>Pol. fee / NRSA</t>
  </si>
  <si>
    <t>15</t>
  </si>
  <si>
    <t>GovTax = 0 (CUR)</t>
  </si>
  <si>
    <t>Tax / VAT</t>
  </si>
  <si>
    <t>16</t>
  </si>
  <si>
    <t>GovVAT = 0 (CUR)</t>
  </si>
  <si>
    <t>17</t>
  </si>
  <si>
    <t>NRSA = 0 (CUR)</t>
  </si>
  <si>
    <t>18</t>
  </si>
  <si>
    <t>TotalPremium = 1,027.94 + 23.00 + 0 + 0 + 0</t>
  </si>
  <si>
    <t>TOTAL PREMIUM ✓</t>
  </si>
  <si>
    <t>DATABASE REFERENCE TABLES  –  CUR Premium Calculation Engine</t>
  </si>
  <si>
    <t>All tables queried during GetPremRateABC + CalcNoOverride for Territory = CUR</t>
  </si>
  <si>
    <t>TABLE: AbcTprate  —  Third-party base premium lookup for ABC islands (Aruba, Bonaire, Curaçao)</t>
  </si>
  <si>
    <t>Column Name</t>
  </si>
  <si>
    <t>Example Value</t>
  </si>
  <si>
    <t>varchar</t>
  </si>
  <si>
    <t>'CUR'</t>
  </si>
  <si>
    <t>Filter</t>
  </si>
  <si>
    <t>TOSUMINS</t>
  </si>
  <si>
    <t>e.g. 5000, 10000, 15000</t>
  </si>
  <si>
    <t>Upper bound of insured sum band</t>
  </si>
  <si>
    <t>VehCat</t>
  </si>
  <si>
    <t>e.g. 'LAR', 'HB'</t>
  </si>
  <si>
    <t>Only for MotorCycle/HB vehicles</t>
  </si>
  <si>
    <t>Premium</t>
  </si>
  <si>
    <t>e.g. 450.00</t>
  </si>
  <si>
    <t>TP base premium for this band</t>
  </si>
  <si>
    <t>Query Filter:</t>
  </si>
  <si>
    <t>WHERE TOSUMINS &gt;= VehicleValue AND Territory = 'CUR' ORDER BY TOSUMINS ASC</t>
  </si>
  <si>
    <t>Developer Note:</t>
  </si>
  <si>
    <t>Take first (lowest TOSUMINS ≥ value). For MC+LAR: add VehCat filter.</t>
  </si>
  <si>
    <t>TABLE: Coverage  —  Coverage type definitions including loading percentage and NCD caps</t>
  </si>
  <si>
    <t>CoverageCode</t>
  </si>
  <si>
    <t>'C','SC','TPC','TP','LAR'</t>
  </si>
  <si>
    <t>contains 'CUR'</t>
  </si>
  <si>
    <t>LIKE '%CUR%' filter</t>
  </si>
  <si>
    <t>Loadperc</t>
  </si>
  <si>
    <t>e.g. 0.1450</t>
  </si>
  <si>
    <t>BasicPremium = VehicleValue × Loadperc</t>
  </si>
  <si>
    <t>Replacementvalue</t>
  </si>
  <si>
    <t>e.g. 0.05</t>
  </si>
  <si>
    <t>SC surcharge on top of Loadperc</t>
  </si>
  <si>
    <t>Maxncd</t>
  </si>
  <si>
    <t>e.g. 60</t>
  </si>
  <si>
    <t>Maximum combined NCD allowed</t>
  </si>
  <si>
    <t>Bonusmalus</t>
  </si>
  <si>
    <t>Used for SAB/EUX as alt Maxncd</t>
  </si>
  <si>
    <t>WHERE CoverageCode = 'C' AND Territory LIKE '%CUR%'</t>
  </si>
  <si>
    <t>Loadperc is a decimal fraction (not percentage); multiply directly.</t>
  </si>
  <si>
    <t>TABLE: NVehUse  —  Vehicle use surcharge applied on top of TP / Comp BasicPremium</t>
  </si>
  <si>
    <t>VuseID</t>
  </si>
  <si>
    <t>'PR','CP','TX','BS'…</t>
  </si>
  <si>
    <t>VehicleUse filter</t>
  </si>
  <si>
    <t>BasicPremium += BasicPremium × Loadperc</t>
  </si>
  <si>
    <t>WHERE VuseID = VehicleUse AND Territory = 'CUR'</t>
  </si>
  <si>
    <t>If no record found (Loadperc=0), no surcharge applied.</t>
  </si>
  <si>
    <t>TABLE: PremVar  —  Main rates/percentages table per territory + vehicle use + coverage</t>
  </si>
  <si>
    <t>Id</t>
  </si>
  <si>
    <t>VehicleUse code</t>
  </si>
  <si>
    <t>'C','T'</t>
  </si>
  <si>
    <t>Aald</t>
  </si>
  <si>
    <t>e.g. 10</t>
  </si>
  <si>
    <t>AALD surcharge %</t>
  </si>
  <si>
    <t>Licexp</t>
  </si>
  <si>
    <t>e.g. 15</t>
  </si>
  <si>
    <t>Inexperienced driver surcharge %</t>
  </si>
  <si>
    <t>Forlicense</t>
  </si>
  <si>
    <t>e.g. 20</t>
  </si>
  <si>
    <t>Foreign license surcharge %</t>
  </si>
  <si>
    <t>Fleetdisc</t>
  </si>
  <si>
    <t>Fleet discount %</t>
  </si>
  <si>
    <t>Staffdisc</t>
  </si>
  <si>
    <t>Staff discount % (direct NAGICO)</t>
  </si>
  <si>
    <t>AgentStaffdisc</t>
  </si>
  <si>
    <t>20</t>
  </si>
  <si>
    <t>Agent staff discount % (hardcoded 20)</t>
  </si>
  <si>
    <t>Passliab</t>
  </si>
  <si>
    <t>e.g. 5.00</t>
  </si>
  <si>
    <t>Per-seat passenger liability amount</t>
  </si>
  <si>
    <t>Quarterlyperc</t>
  </si>
  <si>
    <t>e.g. 30</t>
  </si>
  <si>
    <t>1Q rate (% of annual)</t>
  </si>
  <si>
    <t>Halfyearlyperc</t>
  </si>
  <si>
    <t>6M rate (% of annual) – NOT used for PassLiab in CUR</t>
  </si>
  <si>
    <t>Charge</t>
  </si>
  <si>
    <t>Extra per 1000 above threshold (some territories)</t>
  </si>
  <si>
    <t>Rentalperc</t>
  </si>
  <si>
    <t>Rental vehicle premium %</t>
  </si>
  <si>
    <t>Rentalvalue</t>
  </si>
  <si>
    <t>Rental flat add-on</t>
  </si>
  <si>
    <t>WHERE Territory = 'CUR' AND Id = VehicleUse AND Coverage = coverageCode</t>
  </si>
  <si>
    <t>Coverage may need mapping: if TPC/SC → use 'C'; if TP/LAR → use 'T'.</t>
  </si>
  <si>
    <t>TABLE: LiabilityVar  —  Additional TP liability loading factor by liability amount string</t>
  </si>
  <si>
    <t>Amount</t>
  </si>
  <si>
    <t>e.g. 'Naf 200,000.00'</t>
  </si>
  <si>
    <t>Matched against UI Liability dropdown</t>
  </si>
  <si>
    <t>e.g. 0.02</t>
  </si>
  <si>
    <t>AddTPL = BasicPremium × Value</t>
  </si>
  <si>
    <t>WHERE Amount = Liability AND Territory LIKE '%CUR%'</t>
  </si>
  <si>
    <t>Standard liability may have Value=0 (included in base premium).</t>
  </si>
  <si>
    <t>TABLE: CompRateUpdates  —  Rate increase table applied on effective date</t>
  </si>
  <si>
    <t>CountryCode</t>
  </si>
  <si>
    <t>'V','V00','RNT'</t>
  </si>
  <si>
    <t>'C','T','SC' etc.</t>
  </si>
  <si>
    <t>Date_Effective</t>
  </si>
  <si>
    <t>datetime</t>
  </si>
  <si>
    <t>Must be ≤ EffectiveDate</t>
  </si>
  <si>
    <t>TrxCode</t>
  </si>
  <si>
    <t>'NEW' or 'REN'</t>
  </si>
  <si>
    <t>NEW if IsNew=true</t>
  </si>
  <si>
    <t>Rate</t>
  </si>
  <si>
    <t>e.g. 5.0</t>
  </si>
  <si>
    <t>Percentage increase</t>
  </si>
  <si>
    <t>WHERE CountryCode='CUR' AND PolType=PolType AND CoverageCode=Coverage AND Date_Effective &lt;= EffDate AND TrxCode = trxCode</t>
  </si>
  <si>
    <t>If no rows found: no rate increase. Use first row if multiple (most recent).</t>
  </si>
  <si>
    <t>TABLE: Sys  —  Country-level system settings (policy fee, tax rates, NVD factor)</t>
  </si>
  <si>
    <t>e.g. 23.00</t>
  </si>
  <si>
    <t>Policy administration fee</t>
  </si>
  <si>
    <t>Newvehdisc</t>
  </si>
  <si>
    <t>e.g. 0.70</t>
  </si>
  <si>
    <t>New vehicle discount factor</t>
  </si>
  <si>
    <t>0 for CUR</t>
  </si>
  <si>
    <t>Government tax rate</t>
  </si>
  <si>
    <t>VAT rate</t>
  </si>
  <si>
    <t>NRSA fee</t>
  </si>
  <si>
    <t>WHERE CountryCode LIKE '%CUR%'</t>
  </si>
  <si>
    <t>Newvehdisc is stored as remaining factor (0.70 = 30% discount).</t>
  </si>
  <si>
    <t>TABLE: MinimumPremium  —  Floor premium per coverage/vehicle use combination</t>
  </si>
  <si>
    <t>PolTyp</t>
  </si>
  <si>
    <t>'V'</t>
  </si>
  <si>
    <t>string1</t>
  </si>
  <si>
    <t>Coverage code</t>
  </si>
  <si>
    <t>string2</t>
  </si>
  <si>
    <t>Contains VehicleUse</t>
  </si>
  <si>
    <t>LIKE '%CP%' etc.</t>
  </si>
  <si>
    <t>e.g. 200.00</t>
  </si>
  <si>
    <t>Annual minimum</t>
  </si>
  <si>
    <t>WHERE PolTyp=PolType AND string1=Coverage AND string2 LIKE '%'+VehicleUse+'%'</t>
  </si>
  <si>
    <t>If NetPremium &lt; minimum: NetPremium = minimum (or /2 or /4 for sub-annual).</t>
  </si>
  <si>
    <t>TABLE: VehicleTypes  —  Vehicle age auto rate-up table</t>
  </si>
  <si>
    <t>'Car','Van' etc.</t>
  </si>
  <si>
    <t>Rateupyear</t>
  </si>
  <si>
    <t>Age threshold in years</t>
  </si>
  <si>
    <t>Rateupperc</t>
  </si>
  <si>
    <t>Rate-up % to apply</t>
  </si>
  <si>
    <t>WHERE Territory='CUR' AND VehicleType = VehicleType</t>
  </si>
  <si>
    <t>If today.Year – VehicleYear &gt;= Rateupyear AND NoOverride=false: apply Rateupperc.</t>
  </si>
  <si>
    <t>COVERAGE CODE REFERENCE  –  CUR (Curaçao)</t>
  </si>
  <si>
    <t>Code</t>
  </si>
  <si>
    <t>Full Name</t>
  </si>
  <si>
    <t>CUR BasicPremium Method</t>
  </si>
  <si>
    <t>Screen Display</t>
  </si>
  <si>
    <t>Active CUR</t>
  </si>
  <si>
    <t>Full cover: own damage, TP, fire, theft, nat perils</t>
  </si>
  <si>
    <t>VehicleValue × Coverage.Loadperc for 'C' + NVehUse</t>
  </si>
  <si>
    <t>COMPREHENSIVE</t>
  </si>
  <si>
    <t>✓ Yes</t>
  </si>
  <si>
    <t>SC</t>
  </si>
  <si>
    <t>Super Comprehensive</t>
  </si>
  <si>
    <t>Comprehensive + extra replacement value coverage</t>
  </si>
  <si>
    <t>Same as C, then × (1 + Replacementvalue) surcharge</t>
  </si>
  <si>
    <t>SUPER COMP</t>
  </si>
  <si>
    <t>TPC</t>
  </si>
  <si>
    <t>Third Party + Comp</t>
  </si>
  <si>
    <t>TP base + comprehensive component</t>
  </si>
  <si>
    <t>VehicleValue × Coverage.Loadperc for 'TPC' + NVehUse</t>
  </si>
  <si>
    <t>TP COMP</t>
  </si>
  <si>
    <t>TP</t>
  </si>
  <si>
    <t>Third Party</t>
  </si>
  <si>
    <t>Liability to third parties only</t>
  </si>
  <si>
    <t>AbcTprate lookup + NVehUse load</t>
  </si>
  <si>
    <t>THIRD PARTY</t>
  </si>
  <si>
    <t>LAR</t>
  </si>
  <si>
    <t>Limited All Risk</t>
  </si>
  <si>
    <t>TP + limited own damage, used for motorcycles</t>
  </si>
  <si>
    <t>AbcTprate lookup (VehCat = 'LAR') + NVehUse</t>
  </si>
  <si>
    <t>LTD ALL RISK</t>
  </si>
  <si>
    <t>✓ Motorcycle</t>
  </si>
  <si>
    <t>HB</t>
  </si>
  <si>
    <t>Hobby</t>
  </si>
  <si>
    <t>Hobby vehicle (specific CUR path)</t>
  </si>
  <si>
    <t>AbcTprate lookup (VehCat = 'HB')</t>
  </si>
  <si>
    <t>HOBBY</t>
  </si>
  <si>
    <t>✓ HB VehUse</t>
  </si>
  <si>
    <t>VEHICLE USE CODES (VehicleUse / VuseID)</t>
  </si>
  <si>
    <t>AALD Auto?</t>
  </si>
  <si>
    <t>Commercial?</t>
  </si>
  <si>
    <t>Private</t>
  </si>
  <si>
    <t>If DriverExp&lt;2</t>
  </si>
  <si>
    <t>No</t>
  </si>
  <si>
    <t>Standard private car</t>
  </si>
  <si>
    <t>Yes (auto)</t>
  </si>
  <si>
    <t>Yes</t>
  </si>
  <si>
    <t>Van, pickup used commercially</t>
  </si>
  <si>
    <t>BS</t>
  </si>
  <si>
    <t>Bus</t>
  </si>
  <si>
    <t>SB</t>
  </si>
  <si>
    <t>School Bus</t>
  </si>
  <si>
    <t>HD</t>
  </si>
  <si>
    <t>Heavy Duty</t>
  </si>
  <si>
    <t>Trucks etc.</t>
  </si>
  <si>
    <t>TX</t>
  </si>
  <si>
    <t>Taxi</t>
  </si>
  <si>
    <t>RN</t>
  </si>
  <si>
    <t>Car Rental</t>
  </si>
  <si>
    <t>GL</t>
  </si>
  <si>
    <t>Group Tours Large</t>
  </si>
  <si>
    <t>GS</t>
  </si>
  <si>
    <t>Group Tours Small</t>
  </si>
  <si>
    <t>Hobby vehicles – special path in GetPremRateABC</t>
  </si>
  <si>
    <t>MC</t>
  </si>
  <si>
    <t>Motorcycle</t>
  </si>
  <si>
    <t>MotorCycle type triggers LAR path</t>
  </si>
  <si>
    <t>TableID</t>
  </si>
  <si>
    <t>ID</t>
  </si>
  <si>
    <t>FRSUMINS</t>
  </si>
  <si>
    <t>SUMINS</t>
  </si>
  <si>
    <t>FRSUMINS1</t>
  </si>
  <si>
    <t>TOSUMINS1</t>
  </si>
  <si>
    <t>FRSUMINS2</t>
  </si>
  <si>
    <t>RowVersion</t>
  </si>
  <si>
    <t>NULL</t>
  </si>
  <si>
    <t>XCG</t>
  </si>
  <si>
    <t>0x0000000007A8A320</t>
  </si>
  <si>
    <t>0x0000000007A8A321</t>
  </si>
  <si>
    <t>0x0000000007A8A322</t>
  </si>
  <si>
    <t>0x0000000007A8A323</t>
  </si>
  <si>
    <t>0x0000000007A8A324</t>
  </si>
  <si>
    <t>0x0000000007A8A325</t>
  </si>
  <si>
    <t>0x0000000007A8A326</t>
  </si>
  <si>
    <t>0x0000000007A8A327</t>
  </si>
  <si>
    <t>0x0000000007A8A328</t>
  </si>
  <si>
    <t>0x0000000007A8A329</t>
  </si>
  <si>
    <t>0x0000000007A8A32A</t>
  </si>
  <si>
    <t>0x0000000007A8A32B</t>
  </si>
  <si>
    <t>0x0000000007A8A32C</t>
  </si>
  <si>
    <t>0x0000000007A8A32D</t>
  </si>
  <si>
    <t>0x0000000007A8A32E</t>
  </si>
  <si>
    <t>0x0000000007A8A32F</t>
  </si>
  <si>
    <t>0x0000000007A8A330</t>
  </si>
  <si>
    <t>0x0000000007A8A331</t>
  </si>
  <si>
    <t>0x0000000007A8A332</t>
  </si>
  <si>
    <t>0x0000000007A8A333</t>
  </si>
  <si>
    <t>0x0000000007A8A334</t>
  </si>
  <si>
    <t>0x0000000007A8A335</t>
  </si>
  <si>
    <t>CoverageName</t>
  </si>
  <si>
    <t>MaxNCD</t>
  </si>
  <si>
    <t>SubNCD</t>
  </si>
  <si>
    <t>AddNCD</t>
  </si>
  <si>
    <t>POLTYP</t>
  </si>
  <si>
    <t>LoadPerc</t>
  </si>
  <si>
    <t>Deduct</t>
  </si>
  <si>
    <t>BonusMalus</t>
  </si>
  <si>
    <t>SubCoverageCode</t>
  </si>
  <si>
    <t>IndemnityValue</t>
  </si>
  <si>
    <t>ReplacementValue</t>
  </si>
  <si>
    <t>COMPREHENSIVE "ALL RISK"</t>
  </si>
  <si>
    <t>0x0000000003590367</t>
  </si>
  <si>
    <t>Super Cover</t>
  </si>
  <si>
    <t>0x0000000003590382</t>
  </si>
  <si>
    <t>0x0000000003590383</t>
  </si>
  <si>
    <t>THIRD P. LIMITED COMPREH.</t>
  </si>
  <si>
    <t>0x0000000003590384</t>
  </si>
  <si>
    <t>HalfYearlyPerc</t>
  </si>
  <si>
    <t>HalfYearlyAdd</t>
  </si>
  <si>
    <t>QuarterlyPerc</t>
  </si>
  <si>
    <t>QuarterlyAdd</t>
  </si>
  <si>
    <t>ThreeNinePerc</t>
  </si>
  <si>
    <t>ThreeNineAdd</t>
  </si>
  <si>
    <t>FleetDisc</t>
  </si>
  <si>
    <t>StaffDisc</t>
  </si>
  <si>
    <t>AddDriver</t>
  </si>
  <si>
    <t>LicExp</t>
  </si>
  <si>
    <t>RentalPerc</t>
  </si>
  <si>
    <t>RentalValue</t>
  </si>
  <si>
    <t>UnderAgePerc</t>
  </si>
  <si>
    <t>UID</t>
  </si>
  <si>
    <t>ActofGOD</t>
  </si>
  <si>
    <t>Windscreen</t>
  </si>
  <si>
    <t>0x00000000001EAC49</t>
  </si>
  <si>
    <t>0x00000000001EAC4A</t>
  </si>
  <si>
    <t>CM</t>
  </si>
  <si>
    <t>0x00000000001EAC4B</t>
  </si>
  <si>
    <t>0x00000000001EAC4C</t>
  </si>
  <si>
    <t>0x00000000001EAC4D</t>
  </si>
  <si>
    <t>MB</t>
  </si>
  <si>
    <t>0x00000000001EAC4E</t>
  </si>
  <si>
    <t>0x00000000001EAC4F</t>
  </si>
  <si>
    <t>0x00000000001EAC50</t>
  </si>
  <si>
    <t>0x00000000001EAC51</t>
  </si>
  <si>
    <t>0x00000000001EAC52</t>
  </si>
  <si>
    <t>0x00000000001EAC53</t>
  </si>
  <si>
    <t>0x00000000001EAC54</t>
  </si>
  <si>
    <t>GEN</t>
  </si>
  <si>
    <t>0x00000000001EAC55</t>
  </si>
  <si>
    <t>0x00000000001EAC56</t>
  </si>
  <si>
    <t>0x00000000001EAC57</t>
  </si>
  <si>
    <t>0x00000000001EAC58</t>
  </si>
  <si>
    <t>0x00000000001EAC59</t>
  </si>
  <si>
    <t>0x00000000001EAC5A</t>
  </si>
  <si>
    <t>0x00000000001EAC5B</t>
  </si>
  <si>
    <t>0x00000000001EAC5C</t>
  </si>
  <si>
    <t>0x00000000001EAC5D</t>
  </si>
  <si>
    <t>0x00000000001EAC5E</t>
  </si>
  <si>
    <t>0x00000000001EAC5F</t>
  </si>
  <si>
    <t>0x00000000001EAC60</t>
  </si>
  <si>
    <t>0x00000000001EAC61</t>
  </si>
  <si>
    <t>T</t>
  </si>
  <si>
    <t>0x00000000001EAC62</t>
  </si>
  <si>
    <t>TB</t>
  </si>
  <si>
    <t>0x00000000001EAC63</t>
  </si>
  <si>
    <t>0x00000000001EAC64</t>
  </si>
  <si>
    <t>0x00000000001EAC65</t>
  </si>
  <si>
    <t>0x00000000001EAC66</t>
  </si>
  <si>
    <t>0x00000000001EAC67</t>
  </si>
  <si>
    <t>0x00000000001EAC68</t>
  </si>
  <si>
    <t>0x00000000001EAC69</t>
  </si>
  <si>
    <t>0x00000000001EAC6A</t>
  </si>
  <si>
    <t>0x00000000001EAC6B</t>
  </si>
  <si>
    <t>0x00000000001EAC6C</t>
  </si>
  <si>
    <t>0x00000000001EAC6D</t>
  </si>
  <si>
    <t>BookMonth</t>
  </si>
  <si>
    <t>ClosedDate</t>
  </si>
  <si>
    <t>CA_ReceiptNo</t>
  </si>
  <si>
    <t>ARTransNo</t>
  </si>
  <si>
    <t>VEH_PolicyNo</t>
  </si>
  <si>
    <t>RequestNo</t>
  </si>
  <si>
    <t>PONo</t>
  </si>
  <si>
    <t>AR_PolicyNo</t>
  </si>
  <si>
    <t>BUR_PolicyNo</t>
  </si>
  <si>
    <t>CAR_PolicyNo</t>
  </si>
  <si>
    <t>CL_PolicyNo</t>
  </si>
  <si>
    <t>FIR_PolicyNo</t>
  </si>
  <si>
    <t>GLH_PolicyNo</t>
  </si>
  <si>
    <t>HOC_PolicyNo</t>
  </si>
  <si>
    <t>IM_PolicyNo</t>
  </si>
  <si>
    <t>JB_PolicyNo</t>
  </si>
  <si>
    <t>MRC_PolicyNo</t>
  </si>
  <si>
    <t>MRH_PolicyNo</t>
  </si>
  <si>
    <t>PA_PolicyNo</t>
  </si>
  <si>
    <t>PL_PolicyNo</t>
  </si>
  <si>
    <t>V_PolicyNo</t>
  </si>
  <si>
    <t>Tax</t>
  </si>
  <si>
    <t>NewVehDisc</t>
  </si>
  <si>
    <t>AccountNrAgent</t>
  </si>
  <si>
    <t>AccountNrNON</t>
  </si>
  <si>
    <t>UHCGroupNr</t>
  </si>
  <si>
    <t>ThresholdLowerLimit</t>
  </si>
  <si>
    <t>ThresholdUpperLimit</t>
  </si>
  <si>
    <t>CalcRounding</t>
  </si>
  <si>
    <t>PolicyFeeGen</t>
  </si>
  <si>
    <t>PolicyFeeRSS</t>
  </si>
  <si>
    <t>VAT</t>
  </si>
  <si>
    <t>PremVAT</t>
  </si>
  <si>
    <t>ClaimVAT</t>
  </si>
  <si>
    <t>ReceiptText</t>
  </si>
  <si>
    <t>ReOpenDate</t>
  </si>
  <si>
    <t>Username</t>
  </si>
  <si>
    <t>1200-60</t>
  </si>
  <si>
    <t>0x000000000869CF50</t>
  </si>
  <si>
    <t>Ashanthy.Monte</t>
  </si>
  <si>
    <t>XCG 150,000.00</t>
  </si>
  <si>
    <t>0x0000000007B34F33</t>
  </si>
  <si>
    <t>XCG 200,000.00</t>
  </si>
  <si>
    <t>0x0000000007ADA679</t>
  </si>
  <si>
    <t>XCG 250,000.00</t>
  </si>
  <si>
    <t>0x0000000007ADA67A</t>
  </si>
  <si>
    <t>XCG 300,000.00</t>
  </si>
  <si>
    <t>0x0000000007ADA67B</t>
  </si>
  <si>
    <t>XCG 500,000.00</t>
  </si>
  <si>
    <t>0x0000000007ADA67C</t>
  </si>
  <si>
    <t>XCG 1,000,000.00</t>
  </si>
  <si>
    <t>0x0000000007ADA67D</t>
  </si>
  <si>
    <t>XCG 90,000.00</t>
  </si>
  <si>
    <t>0x0000000007AE4B2D</t>
  </si>
  <si>
    <t>PRIVATE</t>
  </si>
  <si>
    <t>0x0000000001667F31</t>
  </si>
  <si>
    <t>COMMERCIAL</t>
  </si>
  <si>
    <t>0x0000000001667F32</t>
  </si>
  <si>
    <t>RENTAL</t>
  </si>
  <si>
    <t>0x0000000001667F33</t>
  </si>
  <si>
    <t>MOTOR BIKE</t>
  </si>
  <si>
    <t>0x0000000001667F34</t>
  </si>
  <si>
    <t>HEAVY DUTY</t>
  </si>
  <si>
    <t>0x0000000001667F35</t>
  </si>
  <si>
    <t>BUS</t>
  </si>
  <si>
    <t>0x0000000001667F36</t>
  </si>
  <si>
    <t>TAXI</t>
  </si>
  <si>
    <t>0x0000000001667F37</t>
  </si>
  <si>
    <t>HARLEY DAVIDSON</t>
  </si>
  <si>
    <t>0x0000000001667F38</t>
  </si>
  <si>
    <t>HBC</t>
  </si>
  <si>
    <t>HARLEY DAVIDSON CLUBS</t>
  </si>
  <si>
    <t>0x0000000001667F39</t>
  </si>
  <si>
    <t>CC</t>
  </si>
  <si>
    <t>CLASSIC CARS</t>
  </si>
  <si>
    <t>0x0000000001667F3A</t>
  </si>
  <si>
    <t>TOUR BUS</t>
  </si>
  <si>
    <t>0x0000000001667F3B</t>
  </si>
  <si>
    <t>Vtype</t>
  </si>
  <si>
    <t>RateUpYear</t>
  </si>
  <si>
    <t>RateUpPerc</t>
  </si>
  <si>
    <t>SMD,SMF,ARU, CUR,SAB,EUX,MON</t>
  </si>
  <si>
    <t>0x0000000000635387</t>
  </si>
  <si>
    <t>Jeep</t>
  </si>
  <si>
    <t>0x0000000000635388</t>
  </si>
  <si>
    <t>Truck</t>
  </si>
  <si>
    <t>0x0000000000635389</t>
  </si>
  <si>
    <t>MotorCycles</t>
  </si>
  <si>
    <t>0x000000000063538A</t>
  </si>
  <si>
    <t>0x000000000063538B</t>
  </si>
  <si>
    <t>Harley Davidson</t>
  </si>
  <si>
    <t>SMD,SMF,ARU, CUR</t>
  </si>
  <si>
    <t>0x000000000063538C</t>
  </si>
  <si>
    <t>Pickup</t>
  </si>
  <si>
    <t>0x000000000063538D</t>
  </si>
  <si>
    <t>0x000000000063538E</t>
  </si>
  <si>
    <t>Backhoe</t>
  </si>
  <si>
    <t>0x000000000063538F</t>
  </si>
  <si>
    <t>Crane</t>
  </si>
  <si>
    <t>0x0000000000635390</t>
  </si>
  <si>
    <t>Tractor</t>
  </si>
  <si>
    <t>0x0000000000635391</t>
  </si>
  <si>
    <t>Auto</t>
  </si>
  <si>
    <t>BON</t>
  </si>
  <si>
    <t>0x0000000000635392</t>
  </si>
  <si>
    <t>Scooter</t>
  </si>
  <si>
    <t>0x0000000000635393</t>
  </si>
  <si>
    <t>0x0000000000635394</t>
  </si>
  <si>
    <t>MinPremID</t>
  </si>
  <si>
    <t>string3</t>
  </si>
  <si>
    <t>bit1</t>
  </si>
  <si>
    <t>bit2</t>
  </si>
  <si>
    <t>decimal1</t>
  </si>
  <si>
    <t>decimal2</t>
  </si>
  <si>
    <t>NAFL</t>
  </si>
  <si>
    <t>V, V00, RNT</t>
  </si>
  <si>
    <t>0x0000000000E6902C</t>
  </si>
  <si>
    <t>NewNCD</t>
  </si>
  <si>
    <t>1stClaim</t>
  </si>
  <si>
    <t>2ndClaim</t>
  </si>
  <si>
    <t>id</t>
  </si>
  <si>
    <t>0x00000000001AD642</t>
  </si>
  <si>
    <t>0x00000000001AD643</t>
  </si>
  <si>
    <t>0x00000000001AD644</t>
  </si>
  <si>
    <t>0x00000000001AD645</t>
  </si>
  <si>
    <t>0x00000000001AD646</t>
  </si>
  <si>
    <t>0x00000000001AD647</t>
  </si>
  <si>
    <t>0x00000000001AD648</t>
  </si>
  <si>
    <t>0x00000000001AD649</t>
  </si>
  <si>
    <t>0x00000000001AD64A</t>
  </si>
  <si>
    <t>0x00000000001AD64B</t>
  </si>
  <si>
    <t>0x00000000001AD64C</t>
  </si>
  <si>
    <t>0x00000000001AD64D</t>
  </si>
  <si>
    <t>0x00000000001AD64E</t>
  </si>
  <si>
    <t>0x00000000001AD64F</t>
  </si>
  <si>
    <t>0x00000000001AD650</t>
  </si>
  <si>
    <t>0x00000000001AD651</t>
  </si>
  <si>
    <t>0x00000000001AD652</t>
  </si>
  <si>
    <t>0x00000000001AD653</t>
  </si>
  <si>
    <t>0x00000000001AD654</t>
  </si>
  <si>
    <t>0x00000000001AD655</t>
  </si>
  <si>
    <t>0x00000000001AD656</t>
  </si>
  <si>
    <t>0x00000000001AD657</t>
  </si>
  <si>
    <t>0x00000000001AD658</t>
  </si>
  <si>
    <t>0x00000000001AD659</t>
  </si>
  <si>
    <t>0x00000000001AD65A</t>
  </si>
  <si>
    <t>0x00000000001AD65B</t>
  </si>
  <si>
    <t>0x00000000001AD65C</t>
  </si>
  <si>
    <t>0x00000000001AD65D</t>
  </si>
  <si>
    <t>0x00000000001AD65E</t>
  </si>
  <si>
    <t>0x00000000001AD65F</t>
  </si>
  <si>
    <t>0x00000000001AD660</t>
  </si>
  <si>
    <t>0x00000000001AD661</t>
  </si>
  <si>
    <t>0x00000000001AD662</t>
  </si>
  <si>
    <t>0x00000000001AD663</t>
  </si>
  <si>
    <t>0x00000000001AD664</t>
  </si>
  <si>
    <t>0x00000000001AD665</t>
  </si>
  <si>
    <t>0x00000000001AD666</t>
  </si>
  <si>
    <t>0x00000000001AD667</t>
  </si>
  <si>
    <t>0x00000000001AD668</t>
  </si>
  <si>
    <t>0x00000000001AD669</t>
  </si>
  <si>
    <t>0x00000000001AD66A</t>
  </si>
  <si>
    <t>0x00000000001AD66B</t>
  </si>
  <si>
    <t>0x00000000001AD66C</t>
  </si>
  <si>
    <t>0x00000000001AD66D</t>
  </si>
  <si>
    <t>Up to 7 Days</t>
  </si>
  <si>
    <t>0x00000000002013E3</t>
  </si>
  <si>
    <t>Up to 1 Month</t>
  </si>
  <si>
    <t>0x00000000002013E4</t>
  </si>
  <si>
    <t>Up to 2 Months</t>
  </si>
  <si>
    <t>0x00000000002013E5</t>
  </si>
  <si>
    <t>Up to 3 Months</t>
  </si>
  <si>
    <t>0x00000000002013E6</t>
  </si>
  <si>
    <t>Up to 4 Months</t>
  </si>
  <si>
    <t>0x00000000002013E7</t>
  </si>
  <si>
    <t>Up to 5 Months</t>
  </si>
  <si>
    <t>0x00000000002013E8</t>
  </si>
  <si>
    <t>Up to 6 Months</t>
  </si>
  <si>
    <t>0x00000000002013E9</t>
  </si>
  <si>
    <t>Up to 7 Months</t>
  </si>
  <si>
    <t>0x00000000002013EA</t>
  </si>
  <si>
    <t>Up to 8 Months</t>
  </si>
  <si>
    <t>0x00000000002013EB</t>
  </si>
  <si>
    <t>More than 8 Months</t>
  </si>
  <si>
    <t>0x00000000002013EC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</si>
</sst>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0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1F3864"/>
      <name val="Calibri"/>
    </font>
    <font>
      <b/>
      <sz val="10"/>
      <color rgb="FFC00000"/>
      <name val="Calibri"/>
    </font>
    <font>
      <sz val="9"/>
      <color rgb="FF000000"/>
      <name val="Calibri"/>
    </font>
    <font>
      <b/>
      <sz val="13"/>
      <color rgb="FFFFFFFF"/>
      <name val="Calibri"/>
    </font>
    <font>
      <b/>
      <sz val="9"/>
      <color rgb="FF000000"/>
      <name val="Calibri"/>
    </font>
    <font>
      <b/>
      <sz val="9"/>
      <color rgb="FF1F3864"/>
      <name val="Calibri"/>
    </font>
    <font>
      <b/>
      <sz val="12"/>
      <color rgb="FFFFFFFF"/>
      <name val="Calibri"/>
    </font>
    <font>
      <b/>
      <sz val="8"/>
      <color rgb="FFFFFFFF"/>
      <name val="Calibri"/>
    </font>
    <font>
      <sz val="9"/>
      <name val="Courier New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A90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6" fillId="0" borderId="0" xfId="0" applyFont="1"/>
    <xf numFmtId="47" fontId="0" fillId="0" borderId="0" xfId="0" applyNumberFormat="1"/>
    <xf numFmtId="0" fontId="9" fillId="7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/>
    <xf numFmtId="0" fontId="11" fillId="9" borderId="1" xfId="0" applyFont="1" applyFill="1" applyBorder="1"/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5"/>
  <sheetViews>
    <sheetView showGridLines="0" topLeftCell="A5" zoomScale="205" zoomScaleNormal="205" workbookViewId="0"/>
  </sheetViews>
  <sheetFormatPr defaultRowHeight="15" x14ac:dyDescent="0.25"/>
  <cols>
    <col min="1" max="1" width="4" customWidth="1"/>
    <col min="2" max="2" width="28" customWidth="1"/>
    <col min="3" max="3" width="55" customWidth="1"/>
    <col min="4" max="5" width="20" customWidth="1"/>
  </cols>
  <sheetData>
    <row r="1" spans="2:5" ht="36" customHeight="1" x14ac:dyDescent="0.25">
      <c r="B1" s="26" t="s">
        <v>0</v>
      </c>
      <c r="C1" s="25"/>
      <c r="D1" s="25"/>
      <c r="E1" s="25"/>
    </row>
    <row r="2" spans="2:5" ht="20.100000000000001" customHeight="1" x14ac:dyDescent="0.25">
      <c r="B2" s="29" t="s">
        <v>1</v>
      </c>
      <c r="C2" s="25"/>
      <c r="D2" s="25"/>
      <c r="E2" s="25"/>
    </row>
    <row r="3" spans="2:5" ht="8.1" customHeight="1" x14ac:dyDescent="0.25"/>
    <row r="4" spans="2:5" x14ac:dyDescent="0.25">
      <c r="B4" s="27" t="s">
        <v>2</v>
      </c>
      <c r="C4" s="25"/>
      <c r="D4" s="25"/>
      <c r="E4" s="25"/>
    </row>
    <row r="5" spans="2:5" x14ac:dyDescent="0.25">
      <c r="B5" s="1" t="s">
        <v>3</v>
      </c>
      <c r="C5" s="1" t="s">
        <v>4</v>
      </c>
      <c r="D5" s="1" t="s">
        <v>5</v>
      </c>
      <c r="E5" s="1" t="s">
        <v>6</v>
      </c>
    </row>
    <row r="6" spans="2:5" ht="30" customHeight="1" x14ac:dyDescent="0.25">
      <c r="B6" s="2" t="s">
        <v>7</v>
      </c>
      <c r="C6" s="3" t="s">
        <v>8</v>
      </c>
      <c r="D6" s="3" t="s">
        <v>9</v>
      </c>
      <c r="E6" s="3" t="s">
        <v>10</v>
      </c>
    </row>
    <row r="7" spans="2:5" ht="30" customHeight="1" x14ac:dyDescent="0.25">
      <c r="B7" s="4" t="s">
        <v>11</v>
      </c>
      <c r="C7" s="5" t="s">
        <v>12</v>
      </c>
      <c r="D7" s="5" t="s">
        <v>13</v>
      </c>
      <c r="E7" s="5" t="s">
        <v>10</v>
      </c>
    </row>
    <row r="8" spans="2:5" ht="30" customHeight="1" x14ac:dyDescent="0.25">
      <c r="B8" s="2" t="s">
        <v>14</v>
      </c>
      <c r="C8" s="3" t="s">
        <v>15</v>
      </c>
      <c r="D8" s="3" t="s">
        <v>13</v>
      </c>
      <c r="E8" s="3" t="s">
        <v>10</v>
      </c>
    </row>
    <row r="9" spans="2:5" ht="30" customHeight="1" x14ac:dyDescent="0.25">
      <c r="B9" s="4" t="s">
        <v>16</v>
      </c>
      <c r="C9" s="5" t="s">
        <v>17</v>
      </c>
      <c r="D9" s="5" t="s">
        <v>13</v>
      </c>
      <c r="E9" s="5" t="s">
        <v>10</v>
      </c>
    </row>
    <row r="10" spans="2:5" ht="30" customHeight="1" x14ac:dyDescent="0.25">
      <c r="B10" s="2" t="s">
        <v>18</v>
      </c>
      <c r="C10" s="3" t="s">
        <v>19</v>
      </c>
      <c r="D10" s="3" t="s">
        <v>13</v>
      </c>
      <c r="E10" s="3" t="s">
        <v>10</v>
      </c>
    </row>
    <row r="11" spans="2:5" ht="30" customHeight="1" x14ac:dyDescent="0.25">
      <c r="B11" s="4" t="s">
        <v>20</v>
      </c>
      <c r="C11" s="5" t="s">
        <v>21</v>
      </c>
      <c r="D11" s="5" t="s">
        <v>22</v>
      </c>
      <c r="E11" s="5" t="s">
        <v>10</v>
      </c>
    </row>
    <row r="12" spans="2:5" ht="30" customHeight="1" x14ac:dyDescent="0.25">
      <c r="B12" s="2" t="s">
        <v>23</v>
      </c>
      <c r="C12" s="3" t="s">
        <v>24</v>
      </c>
      <c r="D12" s="3" t="s">
        <v>25</v>
      </c>
      <c r="E12" s="3" t="s">
        <v>26</v>
      </c>
    </row>
    <row r="13" spans="2:5" ht="30" customHeight="1" x14ac:dyDescent="0.25">
      <c r="B13" s="4" t="s">
        <v>27</v>
      </c>
      <c r="C13" s="5" t="s">
        <v>28</v>
      </c>
      <c r="D13" s="5" t="s">
        <v>29</v>
      </c>
      <c r="E13" s="5" t="s">
        <v>26</v>
      </c>
    </row>
    <row r="14" spans="2:5" ht="9.9499999999999993" customHeight="1" x14ac:dyDescent="0.25"/>
    <row r="15" spans="2:5" x14ac:dyDescent="0.25">
      <c r="B15" s="28" t="s">
        <v>30</v>
      </c>
      <c r="C15" s="25"/>
      <c r="D15" s="25"/>
      <c r="E15" s="25"/>
    </row>
    <row r="16" spans="2:5" ht="21.95" customHeight="1" x14ac:dyDescent="0.25">
      <c r="B16" s="6" t="s">
        <v>31</v>
      </c>
      <c r="C16" s="24" t="s">
        <v>32</v>
      </c>
      <c r="D16" s="25"/>
      <c r="E16" s="25"/>
    </row>
    <row r="17" spans="2:5" ht="21.95" customHeight="1" x14ac:dyDescent="0.25">
      <c r="B17" s="6" t="s">
        <v>31</v>
      </c>
      <c r="C17" s="24" t="s">
        <v>33</v>
      </c>
      <c r="D17" s="25"/>
      <c r="E17" s="25"/>
    </row>
    <row r="18" spans="2:5" ht="21.95" customHeight="1" x14ac:dyDescent="0.25">
      <c r="B18" s="6" t="s">
        <v>31</v>
      </c>
      <c r="C18" s="24" t="s">
        <v>34</v>
      </c>
      <c r="D18" s="25"/>
      <c r="E18" s="25"/>
    </row>
    <row r="19" spans="2:5" ht="21.95" customHeight="1" x14ac:dyDescent="0.25">
      <c r="B19" s="6" t="s">
        <v>31</v>
      </c>
      <c r="C19" s="24" t="s">
        <v>35</v>
      </c>
      <c r="D19" s="25"/>
      <c r="E19" s="25"/>
    </row>
    <row r="20" spans="2:5" ht="21.95" customHeight="1" x14ac:dyDescent="0.25">
      <c r="B20" s="6" t="s">
        <v>31</v>
      </c>
      <c r="C20" s="24" t="s">
        <v>36</v>
      </c>
      <c r="D20" s="25"/>
      <c r="E20" s="25"/>
    </row>
    <row r="21" spans="2:5" ht="21.95" customHeight="1" x14ac:dyDescent="0.25">
      <c r="B21" s="6" t="s">
        <v>31</v>
      </c>
      <c r="C21" s="24" t="s">
        <v>37</v>
      </c>
      <c r="D21" s="25"/>
      <c r="E21" s="25"/>
    </row>
    <row r="22" spans="2:5" ht="21.95" customHeight="1" x14ac:dyDescent="0.25">
      <c r="B22" s="6" t="s">
        <v>31</v>
      </c>
      <c r="C22" s="24" t="s">
        <v>38</v>
      </c>
      <c r="D22" s="25"/>
      <c r="E22" s="25"/>
    </row>
    <row r="23" spans="2:5" ht="21.95" customHeight="1" x14ac:dyDescent="0.25">
      <c r="B23" s="6" t="s">
        <v>31</v>
      </c>
      <c r="C23" s="24" t="s">
        <v>39</v>
      </c>
      <c r="D23" s="25"/>
      <c r="E23" s="25"/>
    </row>
    <row r="24" spans="2:5" ht="21.95" customHeight="1" x14ac:dyDescent="0.25">
      <c r="B24" s="6" t="s">
        <v>31</v>
      </c>
      <c r="C24" s="24" t="s">
        <v>40</v>
      </c>
      <c r="D24" s="25"/>
      <c r="E24" s="25"/>
    </row>
    <row r="25" spans="2:5" ht="21.95" customHeight="1" x14ac:dyDescent="0.25">
      <c r="B25" s="6" t="s">
        <v>31</v>
      </c>
      <c r="C25" s="24" t="s">
        <v>41</v>
      </c>
      <c r="D25" s="25"/>
      <c r="E25" s="25"/>
    </row>
  </sheetData>
  <mergeCells count="14">
    <mergeCell ref="C25:E25"/>
    <mergeCell ref="C24:E24"/>
    <mergeCell ref="C16:E16"/>
    <mergeCell ref="B1:E1"/>
    <mergeCell ref="B4:E4"/>
    <mergeCell ref="C19:E19"/>
    <mergeCell ref="C23:E23"/>
    <mergeCell ref="C22:E22"/>
    <mergeCell ref="C18:E18"/>
    <mergeCell ref="B15:E15"/>
    <mergeCell ref="C17:E17"/>
    <mergeCell ref="B2:E2"/>
    <mergeCell ref="C21:E21"/>
    <mergeCell ref="C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9"/>
  <sheetViews>
    <sheetView showGridLines="0" workbookViewId="0"/>
  </sheetViews>
  <sheetFormatPr defaultRowHeight="15" x14ac:dyDescent="0.25"/>
  <cols>
    <col min="1" max="1" width="3" customWidth="1"/>
    <col min="2" max="2" width="26" customWidth="1"/>
    <col min="3" max="3" width="18" customWidth="1"/>
    <col min="4" max="4" width="16" customWidth="1"/>
    <col min="5" max="5" width="32" customWidth="1"/>
    <col min="6" max="6" width="22" customWidth="1"/>
    <col min="7" max="7" width="18" customWidth="1"/>
    <col min="8" max="8" width="26" customWidth="1"/>
  </cols>
  <sheetData>
    <row r="1" spans="2:8" ht="30" customHeight="1" x14ac:dyDescent="0.25">
      <c r="B1" s="30" t="s">
        <v>42</v>
      </c>
      <c r="C1" s="25"/>
      <c r="D1" s="25"/>
      <c r="E1" s="25"/>
      <c r="F1" s="25"/>
      <c r="G1" s="25"/>
      <c r="H1" s="25"/>
    </row>
    <row r="2" spans="2:8" x14ac:dyDescent="0.25">
      <c r="B2" s="31" t="s">
        <v>43</v>
      </c>
      <c r="C2" s="25"/>
      <c r="D2" s="25"/>
      <c r="E2" s="25"/>
      <c r="F2" s="25"/>
      <c r="G2" s="25"/>
      <c r="H2" s="25"/>
    </row>
    <row r="3" spans="2:8" ht="27.95" customHeight="1" x14ac:dyDescent="0.25">
      <c r="B3" s="9" t="s">
        <v>44</v>
      </c>
      <c r="C3" s="9" t="s">
        <v>45</v>
      </c>
      <c r="D3" s="9" t="s">
        <v>46</v>
      </c>
      <c r="E3" s="9" t="s">
        <v>47</v>
      </c>
      <c r="F3" s="9" t="s">
        <v>48</v>
      </c>
      <c r="G3" s="9" t="s">
        <v>49</v>
      </c>
      <c r="H3" s="9" t="s">
        <v>50</v>
      </c>
    </row>
    <row r="4" spans="2:8" ht="27.95" customHeight="1" x14ac:dyDescent="0.25">
      <c r="B4" s="10" t="s">
        <v>51</v>
      </c>
      <c r="C4" s="11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1" t="s">
        <v>57</v>
      </c>
    </row>
    <row r="5" spans="2:8" ht="27.95" customHeight="1" x14ac:dyDescent="0.25">
      <c r="B5" s="12" t="s">
        <v>58</v>
      </c>
      <c r="C5" s="13" t="s">
        <v>59</v>
      </c>
      <c r="D5" s="13" t="s">
        <v>60</v>
      </c>
      <c r="E5" s="13" t="s">
        <v>61</v>
      </c>
      <c r="F5" s="13" t="s">
        <v>62</v>
      </c>
      <c r="G5" s="13" t="s">
        <v>63</v>
      </c>
      <c r="H5" s="13" t="s">
        <v>64</v>
      </c>
    </row>
    <row r="6" spans="2:8" ht="27.95" customHeight="1" x14ac:dyDescent="0.25">
      <c r="B6" s="10" t="s">
        <v>65</v>
      </c>
      <c r="C6" s="11" t="s">
        <v>65</v>
      </c>
      <c r="D6" s="11" t="s">
        <v>60</v>
      </c>
      <c r="E6" s="11" t="s">
        <v>66</v>
      </c>
      <c r="F6" s="11" t="s">
        <v>67</v>
      </c>
      <c r="G6" s="11" t="s">
        <v>68</v>
      </c>
      <c r="H6" s="11" t="s">
        <v>69</v>
      </c>
    </row>
    <row r="7" spans="2:8" ht="27.95" customHeight="1" x14ac:dyDescent="0.25">
      <c r="B7" s="12" t="s">
        <v>70</v>
      </c>
      <c r="C7" s="13" t="s">
        <v>71</v>
      </c>
      <c r="D7" s="13" t="s">
        <v>72</v>
      </c>
      <c r="E7" s="13" t="s">
        <v>73</v>
      </c>
      <c r="F7" s="13" t="s">
        <v>74</v>
      </c>
      <c r="G7" s="13" t="s">
        <v>75</v>
      </c>
      <c r="H7" s="13" t="s">
        <v>76</v>
      </c>
    </row>
    <row r="8" spans="2:8" ht="27.95" customHeight="1" x14ac:dyDescent="0.25">
      <c r="B8" s="10" t="s">
        <v>77</v>
      </c>
      <c r="C8" s="11" t="s">
        <v>78</v>
      </c>
      <c r="D8" s="11" t="s">
        <v>60</v>
      </c>
      <c r="E8" s="11" t="s">
        <v>79</v>
      </c>
      <c r="F8" s="11" t="s">
        <v>80</v>
      </c>
      <c r="G8" s="11" t="s">
        <v>81</v>
      </c>
      <c r="H8" s="11" t="s">
        <v>82</v>
      </c>
    </row>
    <row r="9" spans="2:8" ht="27.95" customHeight="1" x14ac:dyDescent="0.25">
      <c r="B9" s="12" t="s">
        <v>83</v>
      </c>
      <c r="C9" s="13" t="s">
        <v>84</v>
      </c>
      <c r="D9" s="13" t="s">
        <v>85</v>
      </c>
      <c r="E9" s="13" t="s">
        <v>86</v>
      </c>
      <c r="F9" s="13" t="s">
        <v>87</v>
      </c>
      <c r="G9" s="13" t="s">
        <v>88</v>
      </c>
      <c r="H9" s="13" t="s">
        <v>89</v>
      </c>
    </row>
    <row r="10" spans="2:8" ht="27.95" customHeight="1" x14ac:dyDescent="0.25">
      <c r="B10" s="10" t="s">
        <v>90</v>
      </c>
      <c r="C10" s="11" t="s">
        <v>91</v>
      </c>
      <c r="D10" s="11" t="s">
        <v>60</v>
      </c>
      <c r="E10" s="11" t="s">
        <v>92</v>
      </c>
      <c r="F10" s="11" t="s">
        <v>93</v>
      </c>
      <c r="G10" s="11" t="s">
        <v>94</v>
      </c>
      <c r="H10" s="11" t="s">
        <v>95</v>
      </c>
    </row>
    <row r="11" spans="2:8" ht="27.95" customHeight="1" x14ac:dyDescent="0.25">
      <c r="B11" s="12" t="s">
        <v>96</v>
      </c>
      <c r="C11" s="13" t="s">
        <v>97</v>
      </c>
      <c r="D11" s="13" t="s">
        <v>98</v>
      </c>
      <c r="E11" s="13" t="s">
        <v>99</v>
      </c>
      <c r="F11" s="13" t="s">
        <v>100</v>
      </c>
      <c r="G11" s="13" t="s">
        <v>101</v>
      </c>
      <c r="H11" s="13" t="s">
        <v>102</v>
      </c>
    </row>
    <row r="12" spans="2:8" ht="27.95" customHeight="1" x14ac:dyDescent="0.25">
      <c r="B12" s="10" t="s">
        <v>103</v>
      </c>
      <c r="C12" s="11" t="s">
        <v>104</v>
      </c>
      <c r="D12" s="11" t="s">
        <v>105</v>
      </c>
      <c r="E12" s="11" t="s">
        <v>106</v>
      </c>
      <c r="F12" s="11" t="s">
        <v>107</v>
      </c>
      <c r="G12" s="11" t="s">
        <v>108</v>
      </c>
      <c r="H12" s="11" t="s">
        <v>109</v>
      </c>
    </row>
    <row r="13" spans="2:8" ht="27.95" customHeight="1" x14ac:dyDescent="0.25">
      <c r="B13" s="12" t="s">
        <v>110</v>
      </c>
      <c r="C13" s="13" t="s">
        <v>111</v>
      </c>
      <c r="D13" s="13" t="s">
        <v>72</v>
      </c>
      <c r="E13" s="13" t="s">
        <v>112</v>
      </c>
      <c r="F13" s="13" t="s">
        <v>113</v>
      </c>
      <c r="G13" s="13" t="s">
        <v>114</v>
      </c>
      <c r="H13" s="13" t="s">
        <v>115</v>
      </c>
    </row>
    <row r="14" spans="2:8" ht="27.95" customHeight="1" x14ac:dyDescent="0.25">
      <c r="B14" s="10" t="s">
        <v>116</v>
      </c>
      <c r="C14" s="11" t="s">
        <v>117</v>
      </c>
      <c r="D14" s="11" t="s">
        <v>60</v>
      </c>
      <c r="E14" s="11" t="s">
        <v>118</v>
      </c>
      <c r="F14" s="11" t="s">
        <v>119</v>
      </c>
      <c r="G14" s="11" t="s">
        <v>120</v>
      </c>
      <c r="H14" s="11" t="s">
        <v>121</v>
      </c>
    </row>
    <row r="15" spans="2:8" ht="27.95" customHeight="1" x14ac:dyDescent="0.25">
      <c r="B15" s="12" t="s">
        <v>122</v>
      </c>
      <c r="C15" s="13" t="s">
        <v>123</v>
      </c>
      <c r="D15" s="13" t="s">
        <v>124</v>
      </c>
      <c r="E15" s="13" t="s">
        <v>125</v>
      </c>
      <c r="F15" s="13" t="s">
        <v>10</v>
      </c>
      <c r="G15" s="13" t="s">
        <v>126</v>
      </c>
      <c r="H15" s="13" t="s">
        <v>127</v>
      </c>
    </row>
    <row r="16" spans="2:8" ht="27.95" customHeight="1" x14ac:dyDescent="0.25">
      <c r="B16" s="10" t="s">
        <v>128</v>
      </c>
      <c r="C16" s="11" t="s">
        <v>129</v>
      </c>
      <c r="D16" s="11" t="s">
        <v>98</v>
      </c>
      <c r="E16" s="11" t="s">
        <v>130</v>
      </c>
      <c r="F16" s="11" t="s">
        <v>131</v>
      </c>
      <c r="G16" s="11" t="s">
        <v>132</v>
      </c>
      <c r="H16" s="11" t="s">
        <v>133</v>
      </c>
    </row>
    <row r="17" spans="2:8" ht="27.95" customHeight="1" x14ac:dyDescent="0.25">
      <c r="B17" s="12" t="s">
        <v>134</v>
      </c>
      <c r="C17" s="13" t="s">
        <v>135</v>
      </c>
      <c r="D17" s="13" t="s">
        <v>98</v>
      </c>
      <c r="E17" s="13" t="s">
        <v>136</v>
      </c>
      <c r="F17" s="13" t="s">
        <v>137</v>
      </c>
      <c r="G17" s="13" t="s">
        <v>138</v>
      </c>
      <c r="H17" s="13" t="s">
        <v>139</v>
      </c>
    </row>
    <row r="18" spans="2:8" ht="27.95" customHeight="1" x14ac:dyDescent="0.25">
      <c r="B18" s="10" t="s">
        <v>140</v>
      </c>
      <c r="C18" s="11" t="s">
        <v>141</v>
      </c>
      <c r="D18" s="11" t="s">
        <v>72</v>
      </c>
      <c r="E18" s="11" t="s">
        <v>142</v>
      </c>
      <c r="F18" s="11" t="s">
        <v>143</v>
      </c>
      <c r="G18" s="11" t="s">
        <v>114</v>
      </c>
      <c r="H18" s="11" t="s">
        <v>144</v>
      </c>
    </row>
    <row r="19" spans="2:8" ht="27.95" customHeight="1" x14ac:dyDescent="0.25">
      <c r="B19" s="12" t="s">
        <v>145</v>
      </c>
      <c r="C19" s="13" t="s">
        <v>146</v>
      </c>
      <c r="D19" s="13" t="s">
        <v>105</v>
      </c>
      <c r="E19" s="13" t="s">
        <v>106</v>
      </c>
      <c r="F19" s="13" t="s">
        <v>75</v>
      </c>
      <c r="G19" s="13" t="s">
        <v>108</v>
      </c>
      <c r="H19" s="13" t="s">
        <v>147</v>
      </c>
    </row>
    <row r="20" spans="2:8" ht="27.95" customHeight="1" x14ac:dyDescent="0.25">
      <c r="B20" s="10" t="s">
        <v>148</v>
      </c>
      <c r="C20" s="11" t="s">
        <v>149</v>
      </c>
      <c r="D20" s="11" t="s">
        <v>105</v>
      </c>
      <c r="E20" s="11" t="s">
        <v>106</v>
      </c>
      <c r="F20" s="11" t="s">
        <v>150</v>
      </c>
      <c r="G20" s="11" t="s">
        <v>108</v>
      </c>
      <c r="H20" s="11" t="s">
        <v>151</v>
      </c>
    </row>
    <row r="21" spans="2:8" ht="27.95" customHeight="1" x14ac:dyDescent="0.25">
      <c r="B21" s="12" t="s">
        <v>152</v>
      </c>
      <c r="C21" s="13" t="s">
        <v>153</v>
      </c>
      <c r="D21" s="13" t="s">
        <v>72</v>
      </c>
      <c r="E21" s="13" t="s">
        <v>154</v>
      </c>
      <c r="F21" s="13" t="s">
        <v>155</v>
      </c>
      <c r="G21" s="13" t="s">
        <v>114</v>
      </c>
      <c r="H21" s="13" t="s">
        <v>156</v>
      </c>
    </row>
    <row r="22" spans="2:8" ht="27.95" customHeight="1" x14ac:dyDescent="0.25">
      <c r="B22" s="10" t="s">
        <v>157</v>
      </c>
      <c r="C22" s="11" t="s">
        <v>158</v>
      </c>
      <c r="D22" s="11" t="s">
        <v>159</v>
      </c>
      <c r="E22" s="11" t="s">
        <v>112</v>
      </c>
      <c r="F22" s="11" t="s">
        <v>160</v>
      </c>
      <c r="G22" s="11" t="s">
        <v>114</v>
      </c>
      <c r="H22" s="11" t="s">
        <v>161</v>
      </c>
    </row>
    <row r="23" spans="2:8" ht="27.95" customHeight="1" x14ac:dyDescent="0.25">
      <c r="B23" s="12" t="s">
        <v>162</v>
      </c>
      <c r="C23" s="13" t="s">
        <v>162</v>
      </c>
      <c r="D23" s="13" t="s">
        <v>105</v>
      </c>
      <c r="E23" s="13" t="s">
        <v>106</v>
      </c>
      <c r="F23" s="13" t="s">
        <v>163</v>
      </c>
      <c r="G23" s="13" t="s">
        <v>108</v>
      </c>
      <c r="H23" s="13" t="s">
        <v>164</v>
      </c>
    </row>
    <row r="24" spans="2:8" ht="27.95" customHeight="1" x14ac:dyDescent="0.25">
      <c r="B24" s="10" t="s">
        <v>165</v>
      </c>
      <c r="C24" s="11" t="s">
        <v>166</v>
      </c>
      <c r="D24" s="11" t="s">
        <v>105</v>
      </c>
      <c r="E24" s="11" t="s">
        <v>106</v>
      </c>
      <c r="F24" s="11" t="s">
        <v>75</v>
      </c>
      <c r="G24" s="11" t="s">
        <v>108</v>
      </c>
      <c r="H24" s="11" t="s">
        <v>167</v>
      </c>
    </row>
    <row r="25" spans="2:8" ht="27.95" customHeight="1" x14ac:dyDescent="0.25">
      <c r="B25" s="12" t="s">
        <v>168</v>
      </c>
      <c r="C25" s="13" t="s">
        <v>169</v>
      </c>
      <c r="D25" s="13" t="s">
        <v>105</v>
      </c>
      <c r="E25" s="13" t="s">
        <v>106</v>
      </c>
      <c r="F25" s="13" t="s">
        <v>170</v>
      </c>
      <c r="G25" s="13" t="s">
        <v>108</v>
      </c>
      <c r="H25" s="13" t="s">
        <v>171</v>
      </c>
    </row>
    <row r="26" spans="2:8" ht="27.95" customHeight="1" x14ac:dyDescent="0.25">
      <c r="B26" s="10" t="s">
        <v>172</v>
      </c>
      <c r="C26" s="11" t="s">
        <v>173</v>
      </c>
      <c r="D26" s="11" t="s">
        <v>105</v>
      </c>
      <c r="E26" s="11" t="s">
        <v>106</v>
      </c>
      <c r="F26" s="11" t="s">
        <v>75</v>
      </c>
      <c r="G26" s="11" t="s">
        <v>108</v>
      </c>
      <c r="H26" s="11" t="s">
        <v>174</v>
      </c>
    </row>
    <row r="27" spans="2:8" ht="27.95" customHeight="1" x14ac:dyDescent="0.25">
      <c r="B27" s="12" t="s">
        <v>175</v>
      </c>
      <c r="C27" s="13" t="s">
        <v>176</v>
      </c>
      <c r="D27" s="13" t="s">
        <v>159</v>
      </c>
      <c r="E27" s="13" t="s">
        <v>112</v>
      </c>
      <c r="F27" s="13" t="s">
        <v>177</v>
      </c>
      <c r="G27" s="13" t="s">
        <v>114</v>
      </c>
      <c r="H27" s="13" t="s">
        <v>178</v>
      </c>
    </row>
    <row r="28" spans="2:8" ht="27.95" customHeight="1" x14ac:dyDescent="0.25">
      <c r="B28" s="10" t="s">
        <v>179</v>
      </c>
      <c r="C28" s="11" t="s">
        <v>180</v>
      </c>
      <c r="D28" s="11" t="s">
        <v>105</v>
      </c>
      <c r="E28" s="11" t="s">
        <v>106</v>
      </c>
      <c r="F28" s="11" t="s">
        <v>181</v>
      </c>
      <c r="G28" s="11" t="s">
        <v>108</v>
      </c>
      <c r="H28" s="11" t="s">
        <v>182</v>
      </c>
    </row>
    <row r="29" spans="2:8" ht="27.95" customHeight="1" x14ac:dyDescent="0.25">
      <c r="B29" s="12" t="s">
        <v>183</v>
      </c>
      <c r="C29" s="13" t="s">
        <v>184</v>
      </c>
      <c r="D29" s="13" t="s">
        <v>105</v>
      </c>
      <c r="E29" s="13" t="s">
        <v>106</v>
      </c>
      <c r="F29" s="13" t="s">
        <v>185</v>
      </c>
      <c r="G29" s="13" t="s">
        <v>108</v>
      </c>
      <c r="H29" s="13" t="s">
        <v>75</v>
      </c>
    </row>
    <row r="30" spans="2:8" ht="27.95" customHeight="1" x14ac:dyDescent="0.25">
      <c r="B30" s="10" t="s">
        <v>186</v>
      </c>
      <c r="C30" s="11" t="s">
        <v>187</v>
      </c>
      <c r="D30" s="11" t="s">
        <v>72</v>
      </c>
      <c r="E30" s="11" t="s">
        <v>112</v>
      </c>
      <c r="F30" s="11" t="s">
        <v>188</v>
      </c>
      <c r="G30" s="11" t="s">
        <v>114</v>
      </c>
      <c r="H30" s="11" t="s">
        <v>189</v>
      </c>
    </row>
    <row r="31" spans="2:8" ht="27.95" customHeight="1" x14ac:dyDescent="0.25">
      <c r="B31" s="12" t="s">
        <v>190</v>
      </c>
      <c r="C31" s="13" t="s">
        <v>191</v>
      </c>
      <c r="D31" s="13" t="s">
        <v>98</v>
      </c>
      <c r="E31" s="13" t="s">
        <v>192</v>
      </c>
      <c r="F31" s="13" t="s">
        <v>75</v>
      </c>
      <c r="G31" s="13" t="s">
        <v>114</v>
      </c>
      <c r="H31" s="13" t="s">
        <v>193</v>
      </c>
    </row>
    <row r="32" spans="2:8" ht="27.95" customHeight="1" x14ac:dyDescent="0.25">
      <c r="B32" s="10" t="s">
        <v>194</v>
      </c>
      <c r="C32" s="11" t="s">
        <v>195</v>
      </c>
      <c r="D32" s="11" t="s">
        <v>72</v>
      </c>
      <c r="E32" s="11" t="s">
        <v>196</v>
      </c>
      <c r="F32" s="11" t="s">
        <v>197</v>
      </c>
      <c r="G32" s="11" t="s">
        <v>114</v>
      </c>
      <c r="H32" s="11" t="s">
        <v>198</v>
      </c>
    </row>
    <row r="33" spans="2:8" ht="27.95" customHeight="1" x14ac:dyDescent="0.25">
      <c r="B33" s="12" t="s">
        <v>199</v>
      </c>
      <c r="C33" s="13" t="s">
        <v>200</v>
      </c>
      <c r="D33" s="13" t="s">
        <v>60</v>
      </c>
      <c r="E33" s="13" t="s">
        <v>201</v>
      </c>
      <c r="F33" s="13" t="s">
        <v>202</v>
      </c>
      <c r="G33" s="13" t="s">
        <v>75</v>
      </c>
      <c r="H33" s="13" t="s">
        <v>203</v>
      </c>
    </row>
    <row r="34" spans="2:8" ht="27.95" customHeight="1" x14ac:dyDescent="0.25">
      <c r="B34" s="10" t="s">
        <v>204</v>
      </c>
      <c r="C34" s="11" t="s">
        <v>205</v>
      </c>
      <c r="D34" s="11" t="s">
        <v>72</v>
      </c>
      <c r="E34" s="11" t="s">
        <v>206</v>
      </c>
      <c r="F34" s="11" t="s">
        <v>207</v>
      </c>
      <c r="G34" s="11" t="s">
        <v>114</v>
      </c>
      <c r="H34" s="11" t="s">
        <v>208</v>
      </c>
    </row>
    <row r="35" spans="2:8" ht="27.95" customHeight="1" x14ac:dyDescent="0.25">
      <c r="B35" s="12" t="s">
        <v>209</v>
      </c>
      <c r="C35" s="13" t="s">
        <v>210</v>
      </c>
      <c r="D35" s="13" t="s">
        <v>72</v>
      </c>
      <c r="E35" s="13" t="s">
        <v>211</v>
      </c>
      <c r="F35" s="13" t="s">
        <v>207</v>
      </c>
      <c r="G35" s="13" t="s">
        <v>114</v>
      </c>
      <c r="H35" s="13" t="s">
        <v>212</v>
      </c>
    </row>
    <row r="36" spans="2:8" ht="27.95" customHeight="1" x14ac:dyDescent="0.25">
      <c r="B36" s="10" t="s">
        <v>213</v>
      </c>
      <c r="C36" s="11" t="s">
        <v>214</v>
      </c>
      <c r="D36" s="11" t="s">
        <v>72</v>
      </c>
      <c r="E36" s="11" t="s">
        <v>211</v>
      </c>
      <c r="F36" s="11" t="s">
        <v>207</v>
      </c>
      <c r="G36" s="11" t="s">
        <v>114</v>
      </c>
      <c r="H36" s="11" t="s">
        <v>212</v>
      </c>
    </row>
    <row r="37" spans="2:8" ht="27.95" customHeight="1" x14ac:dyDescent="0.25">
      <c r="B37" s="12" t="s">
        <v>215</v>
      </c>
      <c r="C37" s="13" t="s">
        <v>215</v>
      </c>
      <c r="D37" s="13" t="s">
        <v>72</v>
      </c>
      <c r="E37" s="13" t="s">
        <v>216</v>
      </c>
      <c r="F37" s="13" t="s">
        <v>75</v>
      </c>
      <c r="G37" s="13" t="s">
        <v>114</v>
      </c>
      <c r="H37" s="13" t="s">
        <v>217</v>
      </c>
    </row>
    <row r="38" spans="2:8" ht="27.95" customHeight="1" x14ac:dyDescent="0.25">
      <c r="B38" s="10" t="s">
        <v>218</v>
      </c>
      <c r="C38" s="11" t="s">
        <v>219</v>
      </c>
      <c r="D38" s="11" t="s">
        <v>105</v>
      </c>
      <c r="E38" s="11" t="s">
        <v>106</v>
      </c>
      <c r="F38" s="11" t="s">
        <v>75</v>
      </c>
      <c r="G38" s="11" t="s">
        <v>108</v>
      </c>
      <c r="H38" s="11" t="s">
        <v>220</v>
      </c>
    </row>
    <row r="39" spans="2:8" ht="27.95" customHeight="1" x14ac:dyDescent="0.25">
      <c r="B39" s="12" t="s">
        <v>221</v>
      </c>
      <c r="C39" s="13" t="s">
        <v>222</v>
      </c>
      <c r="D39" s="13" t="s">
        <v>72</v>
      </c>
      <c r="E39" s="13" t="s">
        <v>223</v>
      </c>
      <c r="F39" s="13" t="s">
        <v>75</v>
      </c>
      <c r="G39" s="13" t="s">
        <v>224</v>
      </c>
      <c r="H39" s="13" t="s">
        <v>225</v>
      </c>
    </row>
    <row r="40" spans="2:8" ht="27.95" customHeight="1" x14ac:dyDescent="0.25">
      <c r="B40" s="10" t="s">
        <v>226</v>
      </c>
      <c r="C40" s="11" t="s">
        <v>227</v>
      </c>
      <c r="D40" s="11" t="s">
        <v>72</v>
      </c>
      <c r="E40" s="11" t="s">
        <v>228</v>
      </c>
      <c r="F40" s="11" t="s">
        <v>75</v>
      </c>
      <c r="G40" s="11" t="s">
        <v>229</v>
      </c>
      <c r="H40" s="11" t="s">
        <v>230</v>
      </c>
    </row>
    <row r="41" spans="2:8" ht="27.95" customHeight="1" x14ac:dyDescent="0.25">
      <c r="B41" s="12" t="s">
        <v>231</v>
      </c>
      <c r="C41" s="13" t="s">
        <v>232</v>
      </c>
      <c r="D41" s="13" t="s">
        <v>72</v>
      </c>
      <c r="E41" s="13" t="s">
        <v>228</v>
      </c>
      <c r="F41" s="13" t="s">
        <v>75</v>
      </c>
      <c r="G41" s="13" t="s">
        <v>233</v>
      </c>
      <c r="H41" s="13" t="s">
        <v>234</v>
      </c>
    </row>
    <row r="42" spans="2:8" ht="27.95" customHeight="1" x14ac:dyDescent="0.25">
      <c r="B42" s="10" t="s">
        <v>235</v>
      </c>
      <c r="C42" s="11" t="s">
        <v>235</v>
      </c>
      <c r="D42" s="11" t="s">
        <v>72</v>
      </c>
      <c r="E42" s="11" t="s">
        <v>228</v>
      </c>
      <c r="F42" s="11" t="s">
        <v>75</v>
      </c>
      <c r="G42" s="11" t="s">
        <v>114</v>
      </c>
      <c r="H42" s="11" t="s">
        <v>236</v>
      </c>
    </row>
    <row r="43" spans="2:8" ht="27.95" customHeight="1" x14ac:dyDescent="0.25">
      <c r="B43" s="12" t="s">
        <v>237</v>
      </c>
      <c r="C43" s="13" t="s">
        <v>238</v>
      </c>
      <c r="D43" s="13" t="s">
        <v>239</v>
      </c>
      <c r="E43" s="13" t="s">
        <v>240</v>
      </c>
      <c r="F43" s="13" t="s">
        <v>10</v>
      </c>
      <c r="G43" s="13" t="s">
        <v>241</v>
      </c>
      <c r="H43" s="13" t="s">
        <v>242</v>
      </c>
    </row>
    <row r="44" spans="2:8" ht="27.95" customHeight="1" x14ac:dyDescent="0.25">
      <c r="B44" s="10" t="s">
        <v>243</v>
      </c>
      <c r="C44" s="11" t="s">
        <v>244</v>
      </c>
      <c r="D44" s="11" t="s">
        <v>239</v>
      </c>
      <c r="E44" s="11" t="s">
        <v>240</v>
      </c>
      <c r="F44" s="11" t="s">
        <v>245</v>
      </c>
      <c r="G44" s="11" t="e">
        <f>EffectiveDate</f>
        <v>#NAME?</v>
      </c>
      <c r="H44" s="11" t="s">
        <v>75</v>
      </c>
    </row>
    <row r="45" spans="2:8" ht="27.95" customHeight="1" x14ac:dyDescent="0.25">
      <c r="B45" s="12" t="s">
        <v>246</v>
      </c>
      <c r="C45" s="13" t="s">
        <v>247</v>
      </c>
      <c r="D45" s="13" t="s">
        <v>105</v>
      </c>
      <c r="E45" s="13" t="s">
        <v>106</v>
      </c>
      <c r="F45" s="13" t="s">
        <v>248</v>
      </c>
      <c r="G45" s="13" t="s">
        <v>75</v>
      </c>
      <c r="H45" s="13" t="s">
        <v>75</v>
      </c>
    </row>
    <row r="46" spans="2:8" ht="27.95" customHeight="1" x14ac:dyDescent="0.25">
      <c r="B46" s="10" t="s">
        <v>249</v>
      </c>
      <c r="C46" s="11" t="s">
        <v>250</v>
      </c>
      <c r="D46" s="11" t="s">
        <v>60</v>
      </c>
      <c r="E46" s="11" t="s">
        <v>251</v>
      </c>
      <c r="F46" s="11" t="s">
        <v>75</v>
      </c>
      <c r="G46" s="11" t="s">
        <v>252</v>
      </c>
      <c r="H46" s="11" t="s">
        <v>253</v>
      </c>
    </row>
    <row r="47" spans="2:8" ht="27.95" customHeight="1" x14ac:dyDescent="0.25">
      <c r="B47" s="12" t="s">
        <v>254</v>
      </c>
      <c r="C47" s="13" t="s">
        <v>255</v>
      </c>
      <c r="D47" s="13" t="s">
        <v>98</v>
      </c>
      <c r="E47" s="13" t="s">
        <v>256</v>
      </c>
      <c r="F47" s="13" t="s">
        <v>257</v>
      </c>
      <c r="G47" s="13" t="s">
        <v>75</v>
      </c>
      <c r="H47" s="13" t="s">
        <v>258</v>
      </c>
    </row>
    <row r="48" spans="2:8" ht="27.95" customHeight="1" x14ac:dyDescent="0.25">
      <c r="B48" s="10" t="s">
        <v>259</v>
      </c>
      <c r="C48" s="11" t="s">
        <v>260</v>
      </c>
      <c r="D48" s="11" t="s">
        <v>105</v>
      </c>
      <c r="E48" s="11" t="s">
        <v>106</v>
      </c>
      <c r="F48" s="11" t="s">
        <v>261</v>
      </c>
      <c r="G48" s="11" t="s">
        <v>108</v>
      </c>
      <c r="H48" s="11" t="s">
        <v>262</v>
      </c>
    </row>
    <row r="49" spans="2:8" ht="27.95" customHeight="1" x14ac:dyDescent="0.25">
      <c r="B49" s="12" t="s">
        <v>263</v>
      </c>
      <c r="C49" s="13" t="s">
        <v>264</v>
      </c>
      <c r="D49" s="13" t="s">
        <v>265</v>
      </c>
      <c r="E49" s="13" t="s">
        <v>75</v>
      </c>
      <c r="F49" s="13" t="s">
        <v>75</v>
      </c>
      <c r="G49" s="13" t="s">
        <v>108</v>
      </c>
      <c r="H49" s="13" t="s">
        <v>266</v>
      </c>
    </row>
  </sheetData>
  <mergeCells count="2">
    <mergeCell ref="B1:H1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4"/>
  <sheetViews>
    <sheetView showGridLines="0" workbookViewId="0"/>
  </sheetViews>
  <sheetFormatPr defaultRowHeight="15" x14ac:dyDescent="0.25"/>
  <cols>
    <col min="1" max="1" width="3" customWidth="1"/>
    <col min="2" max="2" width="8" customWidth="1"/>
    <col min="3" max="3" width="32" customWidth="1"/>
    <col min="4" max="4" width="42" customWidth="1"/>
    <col min="5" max="5" width="32" customWidth="1"/>
    <col min="6" max="7" width="24" customWidth="1"/>
  </cols>
  <sheetData>
    <row r="1" spans="2:7" ht="30" customHeight="1" x14ac:dyDescent="0.25">
      <c r="B1" s="30" t="s">
        <v>267</v>
      </c>
      <c r="C1" s="25"/>
      <c r="D1" s="25"/>
      <c r="E1" s="25"/>
      <c r="F1" s="25"/>
      <c r="G1" s="25"/>
    </row>
    <row r="2" spans="2:7" x14ac:dyDescent="0.25">
      <c r="B2" s="31" t="s">
        <v>268</v>
      </c>
      <c r="C2" s="25"/>
      <c r="D2" s="25"/>
      <c r="E2" s="25"/>
      <c r="F2" s="25"/>
      <c r="G2" s="25"/>
    </row>
    <row r="3" spans="2:7" ht="8.1" customHeight="1" x14ac:dyDescent="0.25"/>
    <row r="4" spans="2:7" x14ac:dyDescent="0.25">
      <c r="B4" s="31" t="s">
        <v>269</v>
      </c>
      <c r="C4" s="25"/>
      <c r="D4" s="25"/>
      <c r="E4" s="25"/>
      <c r="F4" s="25"/>
      <c r="G4" s="25"/>
    </row>
    <row r="5" spans="2:7" ht="24" customHeight="1" x14ac:dyDescent="0.25">
      <c r="B5" s="9" t="s">
        <v>270</v>
      </c>
      <c r="C5" s="9" t="s">
        <v>271</v>
      </c>
      <c r="D5" s="9" t="s">
        <v>272</v>
      </c>
      <c r="E5" s="9" t="s">
        <v>273</v>
      </c>
      <c r="F5" s="9" t="s">
        <v>274</v>
      </c>
      <c r="G5" s="9" t="s">
        <v>50</v>
      </c>
    </row>
    <row r="6" spans="2:7" ht="51.95" customHeight="1" x14ac:dyDescent="0.25">
      <c r="B6" s="14" t="s">
        <v>275</v>
      </c>
      <c r="C6" s="15" t="s">
        <v>276</v>
      </c>
      <c r="D6" s="15" t="s">
        <v>277</v>
      </c>
      <c r="E6" s="15" t="s">
        <v>278</v>
      </c>
      <c r="F6" s="15" t="s">
        <v>279</v>
      </c>
      <c r="G6" s="15" t="s">
        <v>280</v>
      </c>
    </row>
    <row r="7" spans="2:7" ht="51.95" customHeight="1" x14ac:dyDescent="0.25">
      <c r="B7" s="12" t="s">
        <v>281</v>
      </c>
      <c r="C7" s="13" t="s">
        <v>282</v>
      </c>
      <c r="D7" s="13" t="s">
        <v>283</v>
      </c>
      <c r="E7" s="13" t="s">
        <v>284</v>
      </c>
      <c r="F7" s="13" t="s">
        <v>285</v>
      </c>
      <c r="G7" s="13" t="s">
        <v>286</v>
      </c>
    </row>
    <row r="8" spans="2:7" ht="51.95" customHeight="1" x14ac:dyDescent="0.25">
      <c r="B8" s="14" t="s">
        <v>287</v>
      </c>
      <c r="C8" s="15" t="s">
        <v>288</v>
      </c>
      <c r="D8" s="15" t="s">
        <v>289</v>
      </c>
      <c r="E8" s="15" t="s">
        <v>290</v>
      </c>
      <c r="F8" s="15" t="s">
        <v>291</v>
      </c>
      <c r="G8" s="15" t="s">
        <v>292</v>
      </c>
    </row>
    <row r="9" spans="2:7" ht="51.95" customHeight="1" x14ac:dyDescent="0.25">
      <c r="B9" s="12" t="s">
        <v>293</v>
      </c>
      <c r="C9" s="13" t="s">
        <v>294</v>
      </c>
      <c r="D9" s="13" t="s">
        <v>295</v>
      </c>
      <c r="E9" s="13" t="s">
        <v>296</v>
      </c>
      <c r="F9" s="13" t="s">
        <v>291</v>
      </c>
      <c r="G9" s="13" t="s">
        <v>297</v>
      </c>
    </row>
    <row r="10" spans="2:7" ht="51.95" customHeight="1" x14ac:dyDescent="0.25">
      <c r="B10" s="14" t="s">
        <v>298</v>
      </c>
      <c r="C10" s="15" t="s">
        <v>299</v>
      </c>
      <c r="D10" s="15" t="s">
        <v>300</v>
      </c>
      <c r="E10" s="15" t="s">
        <v>301</v>
      </c>
      <c r="F10" s="15" t="s">
        <v>302</v>
      </c>
      <c r="G10" s="15" t="s">
        <v>303</v>
      </c>
    </row>
    <row r="11" spans="2:7" ht="51.95" customHeight="1" x14ac:dyDescent="0.25">
      <c r="B11" s="12" t="s">
        <v>304</v>
      </c>
      <c r="C11" s="13" t="s">
        <v>305</v>
      </c>
      <c r="D11" s="13" t="s">
        <v>306</v>
      </c>
      <c r="E11" s="13" t="s">
        <v>307</v>
      </c>
      <c r="F11" s="13" t="s">
        <v>308</v>
      </c>
      <c r="G11" s="13" t="s">
        <v>309</v>
      </c>
    </row>
    <row r="12" spans="2:7" ht="51.95" customHeight="1" x14ac:dyDescent="0.25">
      <c r="B12" s="14" t="s">
        <v>310</v>
      </c>
      <c r="C12" s="15" t="s">
        <v>311</v>
      </c>
      <c r="D12" s="15" t="s">
        <v>312</v>
      </c>
      <c r="E12" s="15" t="s">
        <v>313</v>
      </c>
      <c r="F12" s="15" t="s">
        <v>75</v>
      </c>
      <c r="G12" s="15" t="s">
        <v>314</v>
      </c>
    </row>
    <row r="13" spans="2:7" ht="51.95" customHeight="1" x14ac:dyDescent="0.25">
      <c r="B13" s="12" t="s">
        <v>315</v>
      </c>
      <c r="C13" s="13" t="s">
        <v>316</v>
      </c>
      <c r="D13" s="13" t="s">
        <v>317</v>
      </c>
      <c r="E13" s="13" t="s">
        <v>318</v>
      </c>
      <c r="F13" s="13" t="s">
        <v>75</v>
      </c>
      <c r="G13" s="13" t="s">
        <v>319</v>
      </c>
    </row>
    <row r="14" spans="2:7" ht="9.9499999999999993" customHeight="1" x14ac:dyDescent="0.25"/>
    <row r="15" spans="2:7" x14ac:dyDescent="0.25">
      <c r="B15" s="33" t="s">
        <v>320</v>
      </c>
      <c r="C15" s="25"/>
      <c r="D15" s="25"/>
      <c r="E15" s="25"/>
      <c r="F15" s="25"/>
      <c r="G15" s="25"/>
    </row>
    <row r="16" spans="2:7" ht="27.95" customHeight="1" x14ac:dyDescent="0.25">
      <c r="B16" s="16" t="s">
        <v>321</v>
      </c>
      <c r="C16" s="16" t="s">
        <v>322</v>
      </c>
      <c r="D16" s="16" t="s">
        <v>323</v>
      </c>
      <c r="E16" s="16" t="s">
        <v>75</v>
      </c>
      <c r="F16" s="16" t="s">
        <v>324</v>
      </c>
    </row>
    <row r="17" spans="2:7" ht="9.9499999999999993" customHeight="1" x14ac:dyDescent="0.25"/>
    <row r="18" spans="2:7" x14ac:dyDescent="0.25">
      <c r="B18" s="32" t="s">
        <v>325</v>
      </c>
      <c r="C18" s="25"/>
      <c r="D18" s="25"/>
      <c r="E18" s="25"/>
      <c r="F18" s="25"/>
      <c r="G18" s="25"/>
    </row>
    <row r="19" spans="2:7" ht="20.100000000000001" customHeight="1" x14ac:dyDescent="0.25">
      <c r="B19" s="8" t="s">
        <v>326</v>
      </c>
      <c r="C19" s="8" t="s">
        <v>327</v>
      </c>
      <c r="D19" s="8" t="s">
        <v>328</v>
      </c>
      <c r="E19" s="8" t="s">
        <v>329</v>
      </c>
      <c r="F19" s="8" t="s">
        <v>50</v>
      </c>
    </row>
    <row r="20" spans="2:7" ht="32.1" customHeight="1" x14ac:dyDescent="0.25">
      <c r="B20" s="11" t="s">
        <v>279</v>
      </c>
      <c r="C20" s="11" t="s">
        <v>330</v>
      </c>
      <c r="D20" s="11" t="s">
        <v>331</v>
      </c>
      <c r="E20" s="11" t="s">
        <v>332</v>
      </c>
      <c r="F20" s="11" t="s">
        <v>333</v>
      </c>
    </row>
    <row r="21" spans="2:7" ht="32.1" customHeight="1" x14ac:dyDescent="0.25">
      <c r="B21" s="13" t="s">
        <v>65</v>
      </c>
      <c r="C21" s="13" t="s">
        <v>334</v>
      </c>
      <c r="D21" s="13" t="s">
        <v>335</v>
      </c>
      <c r="E21" s="13" t="s">
        <v>336</v>
      </c>
      <c r="F21" s="13" t="s">
        <v>337</v>
      </c>
    </row>
    <row r="22" spans="2:7" ht="32.1" customHeight="1" x14ac:dyDescent="0.25">
      <c r="B22" s="11" t="s">
        <v>285</v>
      </c>
      <c r="C22" s="11" t="s">
        <v>338</v>
      </c>
      <c r="D22" s="11" t="s">
        <v>339</v>
      </c>
      <c r="E22" s="11" t="s">
        <v>340</v>
      </c>
      <c r="F22" s="11" t="s">
        <v>341</v>
      </c>
    </row>
    <row r="23" spans="2:7" ht="32.1" customHeight="1" x14ac:dyDescent="0.25">
      <c r="B23" s="13" t="s">
        <v>308</v>
      </c>
      <c r="C23" s="13" t="s">
        <v>342</v>
      </c>
      <c r="D23" s="13" t="s">
        <v>343</v>
      </c>
      <c r="E23" s="13" t="s">
        <v>344</v>
      </c>
      <c r="F23" s="13" t="s">
        <v>345</v>
      </c>
    </row>
    <row r="24" spans="2:7" ht="32.1" customHeight="1" x14ac:dyDescent="0.25">
      <c r="B24" s="11" t="s">
        <v>302</v>
      </c>
      <c r="C24" s="11" t="s">
        <v>346</v>
      </c>
      <c r="D24" s="11" t="s">
        <v>347</v>
      </c>
      <c r="E24" s="11" t="s">
        <v>348</v>
      </c>
      <c r="F24" s="11" t="s">
        <v>349</v>
      </c>
    </row>
  </sheetData>
  <mergeCells count="5">
    <mergeCell ref="B2:G2"/>
    <mergeCell ref="B1:G1"/>
    <mergeCell ref="B4:G4"/>
    <mergeCell ref="B18:G18"/>
    <mergeCell ref="B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20"/>
  <sheetViews>
    <sheetView showGridLines="0" workbookViewId="0"/>
  </sheetViews>
  <sheetFormatPr defaultRowHeight="15" x14ac:dyDescent="0.25"/>
  <cols>
    <col min="1" max="1" width="3" customWidth="1"/>
    <col min="2" max="2" width="6" customWidth="1"/>
    <col min="3" max="3" width="28" customWidth="1"/>
    <col min="4" max="4" width="14" customWidth="1"/>
    <col min="5" max="5" width="38" customWidth="1"/>
    <col min="6" max="6" width="30" customWidth="1"/>
    <col min="7" max="7" width="18" customWidth="1"/>
  </cols>
  <sheetData>
    <row r="1" spans="2:7" ht="30" customHeight="1" x14ac:dyDescent="0.25">
      <c r="B1" s="30" t="s">
        <v>350</v>
      </c>
      <c r="C1" s="25"/>
      <c r="D1" s="25"/>
      <c r="E1" s="25"/>
      <c r="F1" s="25"/>
      <c r="G1" s="25"/>
    </row>
    <row r="2" spans="2:7" x14ac:dyDescent="0.25">
      <c r="B2" s="31" t="s">
        <v>351</v>
      </c>
      <c r="C2" s="25"/>
      <c r="D2" s="25"/>
      <c r="E2" s="25"/>
      <c r="F2" s="25"/>
      <c r="G2" s="25"/>
    </row>
    <row r="3" spans="2:7" ht="24" customHeight="1" x14ac:dyDescent="0.25">
      <c r="B3" s="9" t="s">
        <v>270</v>
      </c>
      <c r="C3" s="9" t="s">
        <v>352</v>
      </c>
      <c r="D3" s="9" t="s">
        <v>353</v>
      </c>
      <c r="E3" s="9" t="s">
        <v>354</v>
      </c>
      <c r="F3" s="9" t="s">
        <v>355</v>
      </c>
      <c r="G3" s="9" t="s">
        <v>356</v>
      </c>
    </row>
    <row r="4" spans="2:7" ht="48" customHeight="1" x14ac:dyDescent="0.25">
      <c r="B4" s="14" t="s">
        <v>357</v>
      </c>
      <c r="C4" s="15" t="s">
        <v>358</v>
      </c>
      <c r="D4" s="15" t="s">
        <v>359</v>
      </c>
      <c r="E4" s="15" t="s">
        <v>360</v>
      </c>
      <c r="F4" s="15" t="s">
        <v>361</v>
      </c>
      <c r="G4" s="15" t="s">
        <v>362</v>
      </c>
    </row>
    <row r="5" spans="2:7" ht="48" customHeight="1" x14ac:dyDescent="0.25">
      <c r="B5" s="12" t="s">
        <v>363</v>
      </c>
      <c r="C5" s="13" t="s">
        <v>364</v>
      </c>
      <c r="D5" s="13" t="s">
        <v>365</v>
      </c>
      <c r="E5" s="13" t="s">
        <v>366</v>
      </c>
      <c r="F5" s="13" t="s">
        <v>75</v>
      </c>
      <c r="G5" s="13" t="s">
        <v>367</v>
      </c>
    </row>
    <row r="6" spans="2:7" ht="48" customHeight="1" x14ac:dyDescent="0.25">
      <c r="B6" s="14" t="s">
        <v>368</v>
      </c>
      <c r="C6" s="15" t="s">
        <v>369</v>
      </c>
      <c r="D6" s="15" t="s">
        <v>370</v>
      </c>
      <c r="E6" s="15" t="s">
        <v>371</v>
      </c>
      <c r="F6" s="15" t="s">
        <v>372</v>
      </c>
      <c r="G6" s="15" t="s">
        <v>373</v>
      </c>
    </row>
    <row r="7" spans="2:7" ht="48" customHeight="1" x14ac:dyDescent="0.25">
      <c r="B7" s="12" t="s">
        <v>374</v>
      </c>
      <c r="C7" s="13" t="s">
        <v>375</v>
      </c>
      <c r="D7" s="13" t="s">
        <v>376</v>
      </c>
      <c r="E7" s="13" t="s">
        <v>377</v>
      </c>
      <c r="F7" s="13" t="s">
        <v>378</v>
      </c>
      <c r="G7" s="13" t="s">
        <v>373</v>
      </c>
    </row>
    <row r="8" spans="2:7" ht="48" customHeight="1" x14ac:dyDescent="0.25">
      <c r="B8" s="14" t="s">
        <v>379</v>
      </c>
      <c r="C8" s="15" t="s">
        <v>165</v>
      </c>
      <c r="D8" s="15" t="s">
        <v>380</v>
      </c>
      <c r="E8" s="15" t="s">
        <v>381</v>
      </c>
      <c r="F8" s="15" t="s">
        <v>382</v>
      </c>
      <c r="G8" s="15" t="s">
        <v>373</v>
      </c>
    </row>
    <row r="9" spans="2:7" ht="48" customHeight="1" x14ac:dyDescent="0.25">
      <c r="B9" s="12" t="s">
        <v>383</v>
      </c>
      <c r="C9" s="13" t="s">
        <v>194</v>
      </c>
      <c r="D9" s="13" t="s">
        <v>384</v>
      </c>
      <c r="E9" s="13" t="s">
        <v>385</v>
      </c>
      <c r="F9" s="13" t="s">
        <v>386</v>
      </c>
      <c r="G9" s="13" t="s">
        <v>373</v>
      </c>
    </row>
    <row r="10" spans="2:7" ht="48" customHeight="1" x14ac:dyDescent="0.25">
      <c r="B10" s="14" t="s">
        <v>387</v>
      </c>
      <c r="C10" s="15" t="s">
        <v>204</v>
      </c>
      <c r="D10" s="15" t="s">
        <v>388</v>
      </c>
      <c r="E10" s="15" t="s">
        <v>389</v>
      </c>
      <c r="F10" s="15" t="s">
        <v>390</v>
      </c>
      <c r="G10" s="15" t="s">
        <v>373</v>
      </c>
    </row>
    <row r="11" spans="2:7" ht="48" customHeight="1" x14ac:dyDescent="0.25">
      <c r="B11" s="12" t="s">
        <v>391</v>
      </c>
      <c r="C11" s="13" t="s">
        <v>168</v>
      </c>
      <c r="D11" s="13" t="s">
        <v>392</v>
      </c>
      <c r="E11" s="13" t="s">
        <v>393</v>
      </c>
      <c r="F11" s="13" t="s">
        <v>394</v>
      </c>
      <c r="G11" s="13" t="s">
        <v>395</v>
      </c>
    </row>
    <row r="12" spans="2:7" ht="48" customHeight="1" x14ac:dyDescent="0.25">
      <c r="B12" s="14" t="s">
        <v>396</v>
      </c>
      <c r="C12" s="15" t="s">
        <v>397</v>
      </c>
      <c r="D12" s="15" t="s">
        <v>398</v>
      </c>
      <c r="E12" s="15" t="s">
        <v>399</v>
      </c>
      <c r="F12" s="15" t="s">
        <v>400</v>
      </c>
      <c r="G12" s="15" t="s">
        <v>395</v>
      </c>
    </row>
    <row r="13" spans="2:7" ht="48" customHeight="1" x14ac:dyDescent="0.25">
      <c r="B13" s="12" t="s">
        <v>401</v>
      </c>
      <c r="C13" s="13" t="s">
        <v>402</v>
      </c>
      <c r="D13" s="13" t="s">
        <v>403</v>
      </c>
      <c r="E13" s="13" t="s">
        <v>404</v>
      </c>
      <c r="F13" s="13" t="s">
        <v>405</v>
      </c>
      <c r="G13" s="13" t="s">
        <v>395</v>
      </c>
    </row>
    <row r="14" spans="2:7" ht="48" customHeight="1" x14ac:dyDescent="0.25">
      <c r="B14" s="14" t="s">
        <v>406</v>
      </c>
      <c r="C14" s="15" t="s">
        <v>407</v>
      </c>
      <c r="D14" s="15" t="s">
        <v>408</v>
      </c>
      <c r="E14" s="15" t="s">
        <v>409</v>
      </c>
      <c r="F14" s="15" t="s">
        <v>75</v>
      </c>
      <c r="G14" s="15" t="s">
        <v>410</v>
      </c>
    </row>
    <row r="15" spans="2:7" ht="9.9499999999999993" customHeight="1" x14ac:dyDescent="0.25"/>
    <row r="16" spans="2:7" x14ac:dyDescent="0.25">
      <c r="B16" s="32" t="s">
        <v>411</v>
      </c>
      <c r="C16" s="25"/>
      <c r="D16" s="25"/>
      <c r="E16" s="25"/>
      <c r="F16" s="25"/>
      <c r="G16" s="25"/>
    </row>
    <row r="17" spans="2:4" ht="20.100000000000001" customHeight="1" x14ac:dyDescent="0.25">
      <c r="B17" s="17" t="s">
        <v>412</v>
      </c>
      <c r="C17" s="17" t="s">
        <v>413</v>
      </c>
      <c r="D17" s="17" t="s">
        <v>328</v>
      </c>
    </row>
    <row r="18" spans="2:4" ht="32.1" customHeight="1" x14ac:dyDescent="0.25">
      <c r="B18" s="11" t="s">
        <v>414</v>
      </c>
      <c r="C18" s="11" t="s">
        <v>415</v>
      </c>
      <c r="D18" s="11" t="s">
        <v>416</v>
      </c>
    </row>
    <row r="19" spans="2:4" ht="32.1" customHeight="1" x14ac:dyDescent="0.25">
      <c r="B19" s="13" t="s">
        <v>417</v>
      </c>
      <c r="C19" s="13" t="s">
        <v>418</v>
      </c>
      <c r="D19" s="13" t="s">
        <v>419</v>
      </c>
    </row>
    <row r="20" spans="2:4" ht="32.1" customHeight="1" x14ac:dyDescent="0.25">
      <c r="B20" s="11" t="s">
        <v>65</v>
      </c>
      <c r="C20" s="11" t="s">
        <v>420</v>
      </c>
      <c r="D20" s="11" t="s">
        <v>421</v>
      </c>
    </row>
  </sheetData>
  <mergeCells count="3">
    <mergeCell ref="B2:G2"/>
    <mergeCell ref="B16:G16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20"/>
  <sheetViews>
    <sheetView showGridLines="0" workbookViewId="0"/>
  </sheetViews>
  <sheetFormatPr defaultRowHeight="15" x14ac:dyDescent="0.25"/>
  <cols>
    <col min="1" max="1" width="3" customWidth="1"/>
    <col min="2" max="2" width="10" customWidth="1"/>
    <col min="3" max="4" width="22" customWidth="1"/>
    <col min="5" max="5" width="40" customWidth="1"/>
    <col min="6" max="6" width="22" customWidth="1"/>
    <col min="7" max="7" width="14" customWidth="1"/>
  </cols>
  <sheetData>
    <row r="1" spans="2:7" ht="30" customHeight="1" x14ac:dyDescent="0.25">
      <c r="B1" s="30" t="s">
        <v>422</v>
      </c>
      <c r="C1" s="25"/>
      <c r="D1" s="25"/>
      <c r="E1" s="25"/>
      <c r="F1" s="25"/>
      <c r="G1" s="25"/>
    </row>
    <row r="2" spans="2:7" x14ac:dyDescent="0.25">
      <c r="B2" s="31" t="s">
        <v>423</v>
      </c>
      <c r="C2" s="25"/>
      <c r="D2" s="25"/>
      <c r="E2" s="25"/>
      <c r="F2" s="25"/>
      <c r="G2" s="25"/>
    </row>
    <row r="3" spans="2:7" x14ac:dyDescent="0.25">
      <c r="B3" s="32" t="s">
        <v>424</v>
      </c>
      <c r="C3" s="25"/>
      <c r="D3" s="25"/>
      <c r="E3" s="25"/>
      <c r="F3" s="25"/>
      <c r="G3" s="25"/>
    </row>
    <row r="4" spans="2:7" ht="24" customHeight="1" x14ac:dyDescent="0.25">
      <c r="B4" s="9" t="s">
        <v>425</v>
      </c>
      <c r="C4" s="9" t="s">
        <v>96</v>
      </c>
      <c r="D4" s="9" t="s">
        <v>426</v>
      </c>
      <c r="E4" s="9" t="s">
        <v>427</v>
      </c>
      <c r="F4" s="9" t="s">
        <v>428</v>
      </c>
      <c r="G4" s="9" t="s">
        <v>429</v>
      </c>
    </row>
    <row r="5" spans="2:7" ht="36" customHeight="1" x14ac:dyDescent="0.25">
      <c r="B5" s="14" t="s">
        <v>120</v>
      </c>
      <c r="C5" s="15" t="s">
        <v>101</v>
      </c>
      <c r="D5" s="15" t="s">
        <v>430</v>
      </c>
      <c r="E5" s="15" t="s">
        <v>431</v>
      </c>
      <c r="F5" s="15" t="s">
        <v>75</v>
      </c>
      <c r="G5" s="15" t="s">
        <v>432</v>
      </c>
    </row>
    <row r="6" spans="2:7" ht="36" customHeight="1" x14ac:dyDescent="0.25">
      <c r="B6" s="12" t="s">
        <v>433</v>
      </c>
      <c r="C6" s="13" t="s">
        <v>434</v>
      </c>
      <c r="D6" s="13" t="s">
        <v>435</v>
      </c>
      <c r="E6" s="13" t="s">
        <v>436</v>
      </c>
      <c r="F6" s="13" t="s">
        <v>437</v>
      </c>
      <c r="G6" s="13" t="s">
        <v>438</v>
      </c>
    </row>
    <row r="7" spans="2:7" ht="36" customHeight="1" x14ac:dyDescent="0.25">
      <c r="B7" s="14" t="s">
        <v>439</v>
      </c>
      <c r="C7" s="15" t="s">
        <v>138</v>
      </c>
      <c r="D7" s="15" t="s">
        <v>435</v>
      </c>
      <c r="E7" s="15" t="s">
        <v>440</v>
      </c>
      <c r="F7" s="15" t="s">
        <v>441</v>
      </c>
      <c r="G7" s="15" t="s">
        <v>442</v>
      </c>
    </row>
    <row r="8" spans="2:7" ht="36" customHeight="1" x14ac:dyDescent="0.25">
      <c r="B8" s="12" t="s">
        <v>443</v>
      </c>
      <c r="C8" s="13" t="s">
        <v>138</v>
      </c>
      <c r="D8" s="13" t="s">
        <v>435</v>
      </c>
      <c r="E8" s="13" t="s">
        <v>444</v>
      </c>
      <c r="F8" s="13" t="s">
        <v>445</v>
      </c>
      <c r="G8" s="13" t="s">
        <v>446</v>
      </c>
    </row>
    <row r="9" spans="2:7" ht="36" customHeight="1" x14ac:dyDescent="0.25">
      <c r="B9" s="14" t="s">
        <v>447</v>
      </c>
      <c r="C9" s="15" t="s">
        <v>448</v>
      </c>
      <c r="D9" s="15" t="s">
        <v>435</v>
      </c>
      <c r="E9" s="15" t="s">
        <v>444</v>
      </c>
      <c r="F9" s="15" t="s">
        <v>445</v>
      </c>
      <c r="G9" s="15" t="s">
        <v>446</v>
      </c>
    </row>
    <row r="10" spans="2:7" ht="36" customHeight="1" x14ac:dyDescent="0.25">
      <c r="B10" s="12" t="s">
        <v>449</v>
      </c>
      <c r="C10" s="13" t="s">
        <v>138</v>
      </c>
      <c r="D10" s="13" t="s">
        <v>435</v>
      </c>
      <c r="E10" s="13" t="s">
        <v>450</v>
      </c>
      <c r="F10" s="13" t="s">
        <v>451</v>
      </c>
      <c r="G10" s="13" t="s">
        <v>452</v>
      </c>
    </row>
    <row r="11" spans="2:7" ht="36" customHeight="1" x14ac:dyDescent="0.25">
      <c r="B11" s="14" t="s">
        <v>453</v>
      </c>
      <c r="C11" s="15" t="s">
        <v>454</v>
      </c>
      <c r="D11" s="15" t="s">
        <v>435</v>
      </c>
      <c r="E11" s="15" t="s">
        <v>455</v>
      </c>
      <c r="F11" s="15" t="s">
        <v>456</v>
      </c>
      <c r="G11" s="15" t="s">
        <v>457</v>
      </c>
    </row>
    <row r="12" spans="2:7" ht="36" customHeight="1" x14ac:dyDescent="0.25">
      <c r="B12" s="12" t="s">
        <v>458</v>
      </c>
      <c r="C12" s="13" t="s">
        <v>459</v>
      </c>
      <c r="D12" s="13" t="s">
        <v>435</v>
      </c>
      <c r="E12" s="13" t="s">
        <v>460</v>
      </c>
      <c r="F12" s="13" t="s">
        <v>461</v>
      </c>
      <c r="G12" s="13" t="s">
        <v>462</v>
      </c>
    </row>
    <row r="13" spans="2:7" ht="36" customHeight="1" x14ac:dyDescent="0.25">
      <c r="B13" s="14" t="s">
        <v>104</v>
      </c>
      <c r="C13" s="15" t="s">
        <v>463</v>
      </c>
      <c r="D13" s="15" t="s">
        <v>464</v>
      </c>
      <c r="E13" s="15" t="s">
        <v>465</v>
      </c>
      <c r="F13" s="15" t="s">
        <v>466</v>
      </c>
      <c r="G13" s="15" t="s">
        <v>467</v>
      </c>
    </row>
    <row r="14" spans="2:7" ht="9.9499999999999993" customHeight="1" x14ac:dyDescent="0.25"/>
    <row r="15" spans="2:7" x14ac:dyDescent="0.25">
      <c r="B15" s="32" t="s">
        <v>468</v>
      </c>
      <c r="C15" s="25"/>
      <c r="D15" s="25"/>
      <c r="E15" s="25"/>
      <c r="F15" s="25"/>
      <c r="G15" s="25"/>
    </row>
    <row r="16" spans="2:7" ht="20.100000000000001" customHeight="1" x14ac:dyDescent="0.25">
      <c r="B16" s="9" t="s">
        <v>270</v>
      </c>
      <c r="C16" s="9" t="s">
        <v>426</v>
      </c>
      <c r="D16" s="9" t="s">
        <v>427</v>
      </c>
      <c r="E16" s="9" t="s">
        <v>469</v>
      </c>
      <c r="F16" s="9" t="s">
        <v>50</v>
      </c>
    </row>
    <row r="17" spans="2:6" ht="48" customHeight="1" x14ac:dyDescent="0.25">
      <c r="B17" s="18" t="s">
        <v>470</v>
      </c>
      <c r="C17" s="7" t="s">
        <v>471</v>
      </c>
      <c r="D17" s="7" t="s">
        <v>472</v>
      </c>
      <c r="E17" s="7" t="s">
        <v>473</v>
      </c>
      <c r="F17" s="7" t="s">
        <v>474</v>
      </c>
    </row>
    <row r="18" spans="2:6" ht="48" customHeight="1" x14ac:dyDescent="0.25">
      <c r="B18" s="12" t="s">
        <v>475</v>
      </c>
      <c r="C18" s="13" t="s">
        <v>476</v>
      </c>
      <c r="D18" s="13" t="s">
        <v>477</v>
      </c>
      <c r="E18" s="13" t="s">
        <v>478</v>
      </c>
      <c r="F18" s="13" t="s">
        <v>479</v>
      </c>
    </row>
    <row r="19" spans="2:6" ht="48" customHeight="1" x14ac:dyDescent="0.25">
      <c r="B19" s="18" t="s">
        <v>480</v>
      </c>
      <c r="C19" s="7" t="s">
        <v>481</v>
      </c>
      <c r="D19" s="7" t="s">
        <v>482</v>
      </c>
      <c r="E19" s="7" t="s">
        <v>75</v>
      </c>
      <c r="F19" s="7" t="s">
        <v>483</v>
      </c>
    </row>
    <row r="20" spans="2:6" ht="48" customHeight="1" x14ac:dyDescent="0.25">
      <c r="B20" s="12" t="s">
        <v>484</v>
      </c>
      <c r="C20" s="13" t="s">
        <v>485</v>
      </c>
      <c r="D20" s="13" t="s">
        <v>486</v>
      </c>
      <c r="E20" s="13" t="s">
        <v>75</v>
      </c>
      <c r="F20" s="13" t="s">
        <v>487</v>
      </c>
    </row>
  </sheetData>
  <mergeCells count="4">
    <mergeCell ref="B3:G3"/>
    <mergeCell ref="B2:G2"/>
    <mergeCell ref="B15:G15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7"/>
  <sheetViews>
    <sheetView showGridLines="0" workbookViewId="0"/>
  </sheetViews>
  <sheetFormatPr defaultRowHeight="15" x14ac:dyDescent="0.25"/>
  <cols>
    <col min="1" max="1" width="3" customWidth="1"/>
    <col min="2" max="2" width="6" customWidth="1"/>
    <col min="3" max="3" width="24" customWidth="1"/>
    <col min="4" max="4" width="20" customWidth="1"/>
    <col min="5" max="5" width="42" customWidth="1"/>
    <col min="6" max="6" width="22" customWidth="1"/>
    <col min="7" max="7" width="16" customWidth="1"/>
  </cols>
  <sheetData>
    <row r="1" spans="2:7" ht="30" customHeight="1" x14ac:dyDescent="0.25">
      <c r="B1" s="35" t="s">
        <v>488</v>
      </c>
      <c r="C1" s="25"/>
      <c r="D1" s="25"/>
      <c r="E1" s="25"/>
      <c r="F1" s="25"/>
      <c r="G1" s="25"/>
    </row>
    <row r="2" spans="2:7" x14ac:dyDescent="0.25">
      <c r="B2" s="31" t="s">
        <v>489</v>
      </c>
      <c r="C2" s="25"/>
      <c r="D2" s="25"/>
      <c r="E2" s="25"/>
      <c r="F2" s="25"/>
      <c r="G2" s="25"/>
    </row>
    <row r="3" spans="2:7" ht="24" customHeight="1" x14ac:dyDescent="0.25">
      <c r="B3" s="9" t="s">
        <v>270</v>
      </c>
      <c r="C3" s="9" t="s">
        <v>490</v>
      </c>
      <c r="D3" s="9" t="s">
        <v>426</v>
      </c>
      <c r="E3" s="9" t="s">
        <v>354</v>
      </c>
      <c r="F3" s="9" t="s">
        <v>355</v>
      </c>
      <c r="G3" s="9" t="s">
        <v>491</v>
      </c>
    </row>
    <row r="4" spans="2:7" ht="54.95" customHeight="1" x14ac:dyDescent="0.25">
      <c r="B4" s="14" t="s">
        <v>492</v>
      </c>
      <c r="C4" s="14" t="s">
        <v>493</v>
      </c>
      <c r="D4" s="15" t="s">
        <v>494</v>
      </c>
      <c r="E4" s="15" t="s">
        <v>495</v>
      </c>
      <c r="F4" s="15" t="s">
        <v>496</v>
      </c>
      <c r="G4" s="15" t="s">
        <v>497</v>
      </c>
    </row>
    <row r="5" spans="2:7" ht="54.95" customHeight="1" x14ac:dyDescent="0.25">
      <c r="B5" s="12" t="s">
        <v>498</v>
      </c>
      <c r="C5" s="12" t="s">
        <v>499</v>
      </c>
      <c r="D5" s="13" t="s">
        <v>500</v>
      </c>
      <c r="E5" s="13" t="s">
        <v>501</v>
      </c>
      <c r="F5" s="13" t="s">
        <v>502</v>
      </c>
      <c r="G5" s="13" t="s">
        <v>503</v>
      </c>
    </row>
    <row r="6" spans="2:7" ht="54.95" customHeight="1" x14ac:dyDescent="0.25">
      <c r="B6" s="14" t="s">
        <v>504</v>
      </c>
      <c r="C6" s="14" t="s">
        <v>505</v>
      </c>
      <c r="D6" s="15" t="s">
        <v>476</v>
      </c>
      <c r="E6" s="15" t="s">
        <v>506</v>
      </c>
      <c r="F6" s="15" t="s">
        <v>507</v>
      </c>
      <c r="G6" s="15" t="s">
        <v>508</v>
      </c>
    </row>
    <row r="7" spans="2:7" ht="54.95" customHeight="1" x14ac:dyDescent="0.25">
      <c r="B7" s="12" t="s">
        <v>509</v>
      </c>
      <c r="C7" s="12" t="s">
        <v>510</v>
      </c>
      <c r="D7" s="13" t="s">
        <v>511</v>
      </c>
      <c r="E7" s="13" t="s">
        <v>512</v>
      </c>
      <c r="F7" s="13" t="s">
        <v>513</v>
      </c>
      <c r="G7" s="13" t="s">
        <v>514</v>
      </c>
    </row>
    <row r="8" spans="2:7" ht="54.95" customHeight="1" x14ac:dyDescent="0.25">
      <c r="B8" s="14" t="s">
        <v>515</v>
      </c>
      <c r="C8" s="14" t="s">
        <v>516</v>
      </c>
      <c r="D8" s="15" t="s">
        <v>476</v>
      </c>
      <c r="E8" s="15" t="s">
        <v>517</v>
      </c>
      <c r="F8" s="15" t="s">
        <v>518</v>
      </c>
      <c r="G8" s="15" t="s">
        <v>519</v>
      </c>
    </row>
    <row r="9" spans="2:7" ht="54.95" customHeight="1" x14ac:dyDescent="0.25">
      <c r="B9" s="12" t="s">
        <v>520</v>
      </c>
      <c r="C9" s="12" t="s">
        <v>227</v>
      </c>
      <c r="D9" s="13" t="s">
        <v>521</v>
      </c>
      <c r="E9" s="13" t="s">
        <v>522</v>
      </c>
      <c r="F9" s="13" t="s">
        <v>523</v>
      </c>
      <c r="G9" s="13" t="s">
        <v>524</v>
      </c>
    </row>
    <row r="10" spans="2:7" ht="54.95" customHeight="1" x14ac:dyDescent="0.25">
      <c r="B10" s="14" t="s">
        <v>525</v>
      </c>
      <c r="C10" s="14" t="s">
        <v>232</v>
      </c>
      <c r="D10" s="15" t="s">
        <v>526</v>
      </c>
      <c r="E10" s="15" t="s">
        <v>527</v>
      </c>
      <c r="F10" s="15" t="s">
        <v>528</v>
      </c>
      <c r="G10" s="15" t="s">
        <v>524</v>
      </c>
    </row>
    <row r="11" spans="2:7" ht="54.95" customHeight="1" x14ac:dyDescent="0.25">
      <c r="B11" s="12" t="s">
        <v>529</v>
      </c>
      <c r="C11" s="12" t="s">
        <v>235</v>
      </c>
      <c r="D11" s="13" t="s">
        <v>476</v>
      </c>
      <c r="E11" s="13" t="s">
        <v>530</v>
      </c>
      <c r="F11" s="13" t="s">
        <v>531</v>
      </c>
      <c r="G11" s="13" t="s">
        <v>524</v>
      </c>
    </row>
    <row r="12" spans="2:7" ht="54.95" customHeight="1" x14ac:dyDescent="0.25">
      <c r="B12" s="14" t="s">
        <v>532</v>
      </c>
      <c r="C12" s="14" t="s">
        <v>533</v>
      </c>
      <c r="D12" s="15" t="s">
        <v>534</v>
      </c>
      <c r="E12" s="15" t="s">
        <v>535</v>
      </c>
      <c r="F12" s="15" t="s">
        <v>536</v>
      </c>
      <c r="G12" s="15" t="s">
        <v>537</v>
      </c>
    </row>
    <row r="13" spans="2:7" ht="9.9499999999999993" customHeight="1" x14ac:dyDescent="0.25"/>
    <row r="14" spans="2:7" x14ac:dyDescent="0.25">
      <c r="B14" s="28" t="s">
        <v>538</v>
      </c>
      <c r="C14" s="25"/>
      <c r="D14" s="25"/>
      <c r="E14" s="25"/>
      <c r="F14" s="25"/>
      <c r="G14" s="25"/>
    </row>
    <row r="15" spans="2:7" ht="21.95" customHeight="1" x14ac:dyDescent="0.25">
      <c r="B15" s="19" t="s">
        <v>505</v>
      </c>
      <c r="C15" s="20" t="s">
        <v>539</v>
      </c>
      <c r="D15" s="34" t="s">
        <v>540</v>
      </c>
      <c r="E15" s="25"/>
      <c r="F15" s="25"/>
      <c r="G15" s="25"/>
    </row>
    <row r="16" spans="2:7" ht="21.95" customHeight="1" x14ac:dyDescent="0.25">
      <c r="B16" s="19" t="s">
        <v>533</v>
      </c>
      <c r="C16" s="20" t="s">
        <v>539</v>
      </c>
      <c r="D16" s="34" t="s">
        <v>541</v>
      </c>
      <c r="E16" s="25"/>
      <c r="F16" s="25"/>
      <c r="G16" s="25"/>
    </row>
    <row r="17" spans="2:7" ht="21.95" customHeight="1" x14ac:dyDescent="0.25">
      <c r="B17" s="19"/>
      <c r="C17" s="20"/>
      <c r="D17" s="34" t="s">
        <v>542</v>
      </c>
      <c r="E17" s="25"/>
      <c r="F17" s="25"/>
      <c r="G17" s="25"/>
    </row>
  </sheetData>
  <mergeCells count="6">
    <mergeCell ref="B2:G2"/>
    <mergeCell ref="D17:G17"/>
    <mergeCell ref="B14:G14"/>
    <mergeCell ref="D16:G16"/>
    <mergeCell ref="B1:G1"/>
    <mergeCell ref="D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58"/>
  <sheetViews>
    <sheetView showGridLines="0" workbookViewId="0"/>
  </sheetViews>
  <sheetFormatPr defaultRowHeight="15" x14ac:dyDescent="0.25"/>
  <cols>
    <col min="1" max="1" width="3" customWidth="1"/>
    <col min="2" max="2" width="28" customWidth="1"/>
    <col min="3" max="4" width="22" customWidth="1"/>
    <col min="5" max="5" width="28" customWidth="1"/>
    <col min="6" max="6" width="16" customWidth="1"/>
  </cols>
  <sheetData>
    <row r="1" spans="2:6" ht="30" customHeight="1" x14ac:dyDescent="0.25">
      <c r="B1" s="30" t="s">
        <v>543</v>
      </c>
      <c r="C1" s="25"/>
      <c r="D1" s="25"/>
      <c r="E1" s="25"/>
      <c r="F1" s="25"/>
    </row>
    <row r="2" spans="2:6" x14ac:dyDescent="0.25">
      <c r="B2" s="31" t="s">
        <v>544</v>
      </c>
      <c r="C2" s="25"/>
      <c r="D2" s="25"/>
      <c r="E2" s="25"/>
      <c r="F2" s="25"/>
    </row>
    <row r="4" spans="2:6" x14ac:dyDescent="0.25">
      <c r="B4" s="36" t="s">
        <v>545</v>
      </c>
      <c r="C4" s="25"/>
      <c r="D4" s="25"/>
      <c r="E4" s="25"/>
      <c r="F4" s="25"/>
    </row>
    <row r="5" spans="2:6" ht="20.100000000000001" customHeight="1" x14ac:dyDescent="0.25">
      <c r="B5" s="8" t="s">
        <v>546</v>
      </c>
      <c r="C5" s="8" t="s">
        <v>547</v>
      </c>
      <c r="D5" s="8" t="s">
        <v>50</v>
      </c>
    </row>
    <row r="6" spans="2:6" ht="18" customHeight="1" x14ac:dyDescent="0.25">
      <c r="B6" s="10" t="s">
        <v>52</v>
      </c>
      <c r="C6" s="11" t="s">
        <v>56</v>
      </c>
      <c r="D6" s="11" t="s">
        <v>548</v>
      </c>
    </row>
    <row r="7" spans="2:6" ht="18" customHeight="1" x14ac:dyDescent="0.25">
      <c r="B7" s="12" t="s">
        <v>58</v>
      </c>
      <c r="C7" s="13" t="s">
        <v>63</v>
      </c>
      <c r="D7" s="13" t="s">
        <v>549</v>
      </c>
    </row>
    <row r="8" spans="2:6" ht="18" customHeight="1" x14ac:dyDescent="0.25">
      <c r="B8" s="10" t="s">
        <v>65</v>
      </c>
      <c r="C8" s="11" t="s">
        <v>68</v>
      </c>
      <c r="D8" s="11" t="s">
        <v>550</v>
      </c>
    </row>
    <row r="9" spans="2:6" ht="18" customHeight="1" x14ac:dyDescent="0.25">
      <c r="B9" s="12" t="s">
        <v>70</v>
      </c>
      <c r="C9" s="13" t="s">
        <v>551</v>
      </c>
      <c r="D9" s="13" t="s">
        <v>552</v>
      </c>
    </row>
    <row r="10" spans="2:6" ht="18" customHeight="1" x14ac:dyDescent="0.25">
      <c r="B10" s="10" t="s">
        <v>77</v>
      </c>
      <c r="C10" s="11" t="s">
        <v>553</v>
      </c>
      <c r="D10" s="11" t="s">
        <v>554</v>
      </c>
    </row>
    <row r="11" spans="2:6" ht="18" customHeight="1" x14ac:dyDescent="0.25">
      <c r="B11" s="12" t="s">
        <v>83</v>
      </c>
      <c r="C11" s="13" t="s">
        <v>555</v>
      </c>
      <c r="D11" s="13" t="s">
        <v>556</v>
      </c>
    </row>
    <row r="12" spans="2:6" ht="18" customHeight="1" x14ac:dyDescent="0.25">
      <c r="B12" s="10" t="s">
        <v>90</v>
      </c>
      <c r="C12" s="11" t="s">
        <v>557</v>
      </c>
      <c r="D12" s="11" t="s">
        <v>75</v>
      </c>
    </row>
    <row r="13" spans="2:6" ht="18" customHeight="1" x14ac:dyDescent="0.25">
      <c r="B13" s="12" t="s">
        <v>97</v>
      </c>
      <c r="C13" s="13" t="s">
        <v>558</v>
      </c>
      <c r="D13" s="13" t="s">
        <v>559</v>
      </c>
    </row>
    <row r="14" spans="2:6" ht="18" customHeight="1" x14ac:dyDescent="0.25">
      <c r="B14" s="10" t="s">
        <v>103</v>
      </c>
      <c r="C14" s="11" t="s">
        <v>108</v>
      </c>
      <c r="D14" s="11" t="s">
        <v>75</v>
      </c>
    </row>
    <row r="15" spans="2:6" ht="18" customHeight="1" x14ac:dyDescent="0.25">
      <c r="B15" s="12" t="s">
        <v>560</v>
      </c>
      <c r="C15" s="13" t="s">
        <v>561</v>
      </c>
      <c r="D15" s="13" t="s">
        <v>75</v>
      </c>
    </row>
    <row r="16" spans="2:6" ht="18" customHeight="1" x14ac:dyDescent="0.25">
      <c r="B16" s="10" t="s">
        <v>128</v>
      </c>
      <c r="C16" s="11" t="s">
        <v>562</v>
      </c>
      <c r="D16" s="11" t="s">
        <v>75</v>
      </c>
    </row>
    <row r="17" spans="2:4" ht="18" customHeight="1" x14ac:dyDescent="0.25">
      <c r="B17" s="12" t="s">
        <v>134</v>
      </c>
      <c r="C17" s="13" t="s">
        <v>563</v>
      </c>
      <c r="D17" s="13" t="s">
        <v>75</v>
      </c>
    </row>
    <row r="18" spans="2:4" ht="18" customHeight="1" x14ac:dyDescent="0.25">
      <c r="B18" s="10" t="s">
        <v>140</v>
      </c>
      <c r="C18" s="11" t="s">
        <v>564</v>
      </c>
      <c r="D18" s="11" t="s">
        <v>75</v>
      </c>
    </row>
    <row r="19" spans="2:4" ht="18" customHeight="1" x14ac:dyDescent="0.25">
      <c r="B19" s="12" t="s">
        <v>565</v>
      </c>
      <c r="C19" s="13" t="s">
        <v>566</v>
      </c>
      <c r="D19" s="13" t="s">
        <v>567</v>
      </c>
    </row>
    <row r="20" spans="2:4" ht="18" customHeight="1" x14ac:dyDescent="0.25">
      <c r="B20" s="10" t="s">
        <v>568</v>
      </c>
      <c r="C20" s="11" t="s">
        <v>569</v>
      </c>
      <c r="D20" s="11" t="s">
        <v>567</v>
      </c>
    </row>
    <row r="21" spans="2:4" ht="18" customHeight="1" x14ac:dyDescent="0.25">
      <c r="B21" s="12" t="s">
        <v>200</v>
      </c>
      <c r="C21" s="13" t="s">
        <v>570</v>
      </c>
      <c r="D21" s="13" t="s">
        <v>571</v>
      </c>
    </row>
    <row r="22" spans="2:4" ht="18" customHeight="1" x14ac:dyDescent="0.25">
      <c r="B22" s="10" t="s">
        <v>146</v>
      </c>
      <c r="C22" s="11" t="s">
        <v>108</v>
      </c>
      <c r="D22" s="11" t="s">
        <v>75</v>
      </c>
    </row>
    <row r="23" spans="2:4" ht="18" customHeight="1" x14ac:dyDescent="0.25">
      <c r="B23" s="12" t="s">
        <v>572</v>
      </c>
      <c r="C23" s="13" t="s">
        <v>108</v>
      </c>
      <c r="D23" s="13" t="s">
        <v>75</v>
      </c>
    </row>
    <row r="24" spans="2:4" ht="18" customHeight="1" x14ac:dyDescent="0.25">
      <c r="B24" s="10" t="s">
        <v>157</v>
      </c>
      <c r="C24" s="11" t="s">
        <v>114</v>
      </c>
      <c r="D24" s="11" t="s">
        <v>75</v>
      </c>
    </row>
    <row r="25" spans="2:4" ht="18" customHeight="1" x14ac:dyDescent="0.25">
      <c r="B25" s="12" t="s">
        <v>162</v>
      </c>
      <c r="C25" s="13" t="s">
        <v>573</v>
      </c>
      <c r="D25" s="13" t="s">
        <v>574</v>
      </c>
    </row>
    <row r="26" spans="2:4" ht="18" customHeight="1" x14ac:dyDescent="0.25">
      <c r="B26" s="10" t="s">
        <v>165</v>
      </c>
      <c r="C26" s="11" t="s">
        <v>108</v>
      </c>
      <c r="D26" s="11" t="s">
        <v>75</v>
      </c>
    </row>
    <row r="27" spans="2:4" ht="18" customHeight="1" x14ac:dyDescent="0.25">
      <c r="B27" s="12" t="s">
        <v>168</v>
      </c>
      <c r="C27" s="13" t="s">
        <v>108</v>
      </c>
      <c r="D27" s="13" t="s">
        <v>75</v>
      </c>
    </row>
    <row r="28" spans="2:4" ht="18" customHeight="1" x14ac:dyDescent="0.25">
      <c r="B28" s="10" t="s">
        <v>397</v>
      </c>
      <c r="C28" s="11" t="s">
        <v>108</v>
      </c>
      <c r="D28" s="11" t="s">
        <v>75</v>
      </c>
    </row>
    <row r="29" spans="2:4" ht="18" customHeight="1" x14ac:dyDescent="0.25">
      <c r="B29" s="12" t="s">
        <v>175</v>
      </c>
      <c r="C29" s="13" t="s">
        <v>114</v>
      </c>
      <c r="D29" s="13" t="s">
        <v>75</v>
      </c>
    </row>
    <row r="30" spans="2:4" ht="18" customHeight="1" x14ac:dyDescent="0.25">
      <c r="B30" s="10" t="s">
        <v>575</v>
      </c>
      <c r="C30" s="11" t="s">
        <v>108</v>
      </c>
      <c r="D30" s="11" t="s">
        <v>75</v>
      </c>
    </row>
    <row r="31" spans="2:4" ht="18" customHeight="1" x14ac:dyDescent="0.25">
      <c r="B31" s="12" t="s">
        <v>190</v>
      </c>
      <c r="C31" s="13" t="s">
        <v>138</v>
      </c>
      <c r="D31" s="13" t="s">
        <v>576</v>
      </c>
    </row>
    <row r="32" spans="2:4" ht="18" customHeight="1" x14ac:dyDescent="0.25">
      <c r="B32" s="10" t="s">
        <v>577</v>
      </c>
      <c r="C32" s="11" t="s">
        <v>578</v>
      </c>
      <c r="D32" s="11" t="s">
        <v>579</v>
      </c>
    </row>
    <row r="33" spans="2:6" ht="18" customHeight="1" x14ac:dyDescent="0.25">
      <c r="B33" s="12" t="s">
        <v>215</v>
      </c>
      <c r="C33" s="13" t="s">
        <v>524</v>
      </c>
      <c r="D33" s="13" t="s">
        <v>75</v>
      </c>
    </row>
    <row r="34" spans="2:6" ht="18" customHeight="1" x14ac:dyDescent="0.25">
      <c r="B34" s="10" t="s">
        <v>221</v>
      </c>
      <c r="C34" s="11" t="s">
        <v>519</v>
      </c>
      <c r="D34" s="11" t="s">
        <v>580</v>
      </c>
    </row>
    <row r="35" spans="2:6" ht="18" customHeight="1" x14ac:dyDescent="0.25">
      <c r="B35" s="12" t="s">
        <v>226</v>
      </c>
      <c r="C35" s="13" t="s">
        <v>114</v>
      </c>
      <c r="D35" s="13" t="s">
        <v>581</v>
      </c>
    </row>
    <row r="36" spans="2:6" ht="18" customHeight="1" x14ac:dyDescent="0.25">
      <c r="B36" s="10" t="s">
        <v>231</v>
      </c>
      <c r="C36" s="11" t="s">
        <v>114</v>
      </c>
      <c r="D36" s="11" t="s">
        <v>582</v>
      </c>
    </row>
    <row r="37" spans="2:6" ht="18" customHeight="1" x14ac:dyDescent="0.25">
      <c r="B37" s="12" t="s">
        <v>235</v>
      </c>
      <c r="C37" s="13" t="s">
        <v>114</v>
      </c>
      <c r="D37" s="13" t="s">
        <v>75</v>
      </c>
    </row>
    <row r="38" spans="2:6" ht="9.9499999999999993" customHeight="1" x14ac:dyDescent="0.25"/>
    <row r="39" spans="2:6" x14ac:dyDescent="0.25">
      <c r="B39" s="36" t="s">
        <v>583</v>
      </c>
      <c r="C39" s="25"/>
      <c r="D39" s="25"/>
      <c r="E39" s="25"/>
      <c r="F39" s="25"/>
    </row>
    <row r="40" spans="2:6" ht="24" customHeight="1" x14ac:dyDescent="0.25">
      <c r="B40" s="9" t="s">
        <v>270</v>
      </c>
      <c r="C40" s="9" t="s">
        <v>4</v>
      </c>
      <c r="D40" s="9" t="s">
        <v>584</v>
      </c>
      <c r="E40" s="9" t="s">
        <v>585</v>
      </c>
      <c r="F40" s="9" t="s">
        <v>586</v>
      </c>
    </row>
    <row r="41" spans="2:6" ht="30" customHeight="1" x14ac:dyDescent="0.25">
      <c r="B41" s="10" t="s">
        <v>587</v>
      </c>
      <c r="C41" s="11" t="s">
        <v>588</v>
      </c>
      <c r="D41" s="11" t="s">
        <v>589</v>
      </c>
      <c r="E41" s="11" t="s">
        <v>589</v>
      </c>
      <c r="F41" s="11" t="s">
        <v>590</v>
      </c>
    </row>
    <row r="42" spans="2:6" ht="30" customHeight="1" x14ac:dyDescent="0.25">
      <c r="B42" s="12" t="s">
        <v>591</v>
      </c>
      <c r="C42" s="13" t="s">
        <v>592</v>
      </c>
      <c r="D42" s="13" t="s">
        <v>524</v>
      </c>
      <c r="E42" s="13" t="s">
        <v>589</v>
      </c>
      <c r="F42" s="13" t="s">
        <v>75</v>
      </c>
    </row>
    <row r="43" spans="2:6" ht="30" customHeight="1" x14ac:dyDescent="0.25">
      <c r="B43" s="10" t="s">
        <v>138</v>
      </c>
      <c r="C43" s="11" t="s">
        <v>593</v>
      </c>
      <c r="D43" s="11" t="s">
        <v>524</v>
      </c>
      <c r="E43" s="11" t="s">
        <v>589</v>
      </c>
      <c r="F43" s="11" t="s">
        <v>594</v>
      </c>
    </row>
    <row r="44" spans="2:6" ht="30" customHeight="1" x14ac:dyDescent="0.25">
      <c r="B44" s="12" t="s">
        <v>595</v>
      </c>
      <c r="C44" s="13" t="s">
        <v>596</v>
      </c>
      <c r="D44" s="13" t="s">
        <v>524</v>
      </c>
      <c r="E44" s="13" t="s">
        <v>589</v>
      </c>
      <c r="F44" s="13" t="s">
        <v>194</v>
      </c>
    </row>
    <row r="45" spans="2:6" ht="30" customHeight="1" x14ac:dyDescent="0.25">
      <c r="B45" s="10" t="s">
        <v>597</v>
      </c>
      <c r="C45" s="11" t="s">
        <v>598</v>
      </c>
      <c r="D45" s="11" t="s">
        <v>75</v>
      </c>
      <c r="E45" s="11" t="s">
        <v>589</v>
      </c>
      <c r="F45" s="11" t="s">
        <v>599</v>
      </c>
    </row>
    <row r="46" spans="2:6" ht="30" customHeight="1" x14ac:dyDescent="0.25">
      <c r="B46" s="12" t="s">
        <v>434</v>
      </c>
      <c r="C46" s="13" t="s">
        <v>600</v>
      </c>
      <c r="D46" s="13" t="s">
        <v>75</v>
      </c>
      <c r="E46" s="13" t="s">
        <v>589</v>
      </c>
      <c r="F46" s="13" t="s">
        <v>601</v>
      </c>
    </row>
    <row r="47" spans="2:6" ht="30" customHeight="1" x14ac:dyDescent="0.25">
      <c r="B47" s="10" t="s">
        <v>602</v>
      </c>
      <c r="C47" s="11" t="s">
        <v>603</v>
      </c>
      <c r="D47" s="11" t="s">
        <v>604</v>
      </c>
      <c r="E47" s="11" t="s">
        <v>75</v>
      </c>
      <c r="F47" s="11" t="s">
        <v>605</v>
      </c>
    </row>
    <row r="48" spans="2:6" ht="30" customHeight="1" x14ac:dyDescent="0.25">
      <c r="B48" s="12" t="s">
        <v>606</v>
      </c>
      <c r="C48" s="13" t="s">
        <v>607</v>
      </c>
      <c r="D48" s="13" t="s">
        <v>75</v>
      </c>
      <c r="E48" s="13" t="s">
        <v>608</v>
      </c>
      <c r="F48" s="13" t="s">
        <v>609</v>
      </c>
    </row>
    <row r="49" spans="2:6" ht="30" customHeight="1" x14ac:dyDescent="0.25">
      <c r="B49" s="10" t="s">
        <v>448</v>
      </c>
      <c r="C49" s="11" t="s">
        <v>610</v>
      </c>
      <c r="D49" s="11" t="s">
        <v>524</v>
      </c>
      <c r="E49" s="11" t="s">
        <v>75</v>
      </c>
      <c r="F49" s="11" t="s">
        <v>75</v>
      </c>
    </row>
    <row r="50" spans="2:6" ht="30" customHeight="1" x14ac:dyDescent="0.25">
      <c r="B50" s="12" t="s">
        <v>611</v>
      </c>
      <c r="C50" s="13" t="s">
        <v>612</v>
      </c>
      <c r="D50" s="13" t="s">
        <v>613</v>
      </c>
      <c r="E50" s="13" t="s">
        <v>75</v>
      </c>
      <c r="F50" s="13" t="s">
        <v>614</v>
      </c>
    </row>
    <row r="51" spans="2:6" ht="30" customHeight="1" x14ac:dyDescent="0.25">
      <c r="B51" s="10" t="s">
        <v>615</v>
      </c>
      <c r="C51" s="11" t="s">
        <v>616</v>
      </c>
      <c r="D51" s="11" t="s">
        <v>578</v>
      </c>
      <c r="E51" s="11" t="s">
        <v>75</v>
      </c>
      <c r="F51" s="11" t="s">
        <v>577</v>
      </c>
    </row>
    <row r="52" spans="2:6" ht="30" customHeight="1" x14ac:dyDescent="0.25">
      <c r="B52" s="12" t="s">
        <v>101</v>
      </c>
      <c r="C52" s="13" t="s">
        <v>617</v>
      </c>
      <c r="D52" s="13" t="s">
        <v>524</v>
      </c>
      <c r="E52" s="13" t="s">
        <v>75</v>
      </c>
      <c r="F52" s="13" t="s">
        <v>215</v>
      </c>
    </row>
    <row r="53" spans="2:6" ht="30" customHeight="1" x14ac:dyDescent="0.25">
      <c r="B53" s="10" t="s">
        <v>618</v>
      </c>
      <c r="C53" s="11" t="s">
        <v>619</v>
      </c>
      <c r="D53" s="11" t="s">
        <v>75</v>
      </c>
      <c r="E53" s="11" t="s">
        <v>620</v>
      </c>
      <c r="F53" s="11" t="s">
        <v>621</v>
      </c>
    </row>
    <row r="54" spans="2:6" ht="30" customHeight="1" x14ac:dyDescent="0.25">
      <c r="B54" s="12" t="s">
        <v>622</v>
      </c>
      <c r="C54" s="13" t="s">
        <v>623</v>
      </c>
      <c r="D54" s="13" t="s">
        <v>519</v>
      </c>
      <c r="E54" s="13" t="s">
        <v>75</v>
      </c>
      <c r="F54" s="13" t="s">
        <v>624</v>
      </c>
    </row>
    <row r="55" spans="2:6" ht="30" customHeight="1" x14ac:dyDescent="0.25">
      <c r="B55" s="10" t="s">
        <v>625</v>
      </c>
      <c r="C55" s="11" t="s">
        <v>626</v>
      </c>
      <c r="D55" s="11" t="s">
        <v>524</v>
      </c>
      <c r="E55" s="11" t="s">
        <v>75</v>
      </c>
      <c r="F55" s="11" t="s">
        <v>627</v>
      </c>
    </row>
    <row r="56" spans="2:6" ht="30" customHeight="1" x14ac:dyDescent="0.25">
      <c r="B56" s="12" t="s">
        <v>628</v>
      </c>
      <c r="C56" s="13" t="s">
        <v>629</v>
      </c>
      <c r="D56" s="13" t="s">
        <v>524</v>
      </c>
      <c r="E56" s="13" t="s">
        <v>75</v>
      </c>
      <c r="F56" s="13" t="s">
        <v>627</v>
      </c>
    </row>
    <row r="57" spans="2:6" ht="30" customHeight="1" x14ac:dyDescent="0.25">
      <c r="B57" s="10" t="s">
        <v>630</v>
      </c>
      <c r="C57" s="11" t="s">
        <v>631</v>
      </c>
      <c r="D57" s="11" t="s">
        <v>524</v>
      </c>
      <c r="E57" s="11" t="s">
        <v>75</v>
      </c>
      <c r="F57" s="11" t="s">
        <v>75</v>
      </c>
    </row>
    <row r="58" spans="2:6" ht="30" customHeight="1" x14ac:dyDescent="0.25">
      <c r="B58" s="18" t="s">
        <v>632</v>
      </c>
      <c r="C58" s="18" t="s">
        <v>633</v>
      </c>
      <c r="D58" s="18" t="s">
        <v>75</v>
      </c>
      <c r="E58" s="18" t="s">
        <v>537</v>
      </c>
      <c r="F58" s="18" t="s">
        <v>634</v>
      </c>
    </row>
  </sheetData>
  <mergeCells count="4">
    <mergeCell ref="B2:F2"/>
    <mergeCell ref="B4:F4"/>
    <mergeCell ref="B39:F39"/>
    <mergeCell ref="B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98"/>
  <sheetViews>
    <sheetView showGridLines="0" topLeftCell="A73" workbookViewId="0"/>
  </sheetViews>
  <sheetFormatPr defaultRowHeight="15" x14ac:dyDescent="0.25"/>
  <cols>
    <col min="1" max="1" width="3" customWidth="1"/>
    <col min="2" max="2" width="24" customWidth="1"/>
    <col min="3" max="3" width="28" customWidth="1"/>
    <col min="4" max="4" width="20" customWidth="1"/>
    <col min="5" max="5" width="38" customWidth="1"/>
    <col min="6" max="6" width="18" customWidth="1"/>
    <col min="7" max="7" width="16" customWidth="1"/>
  </cols>
  <sheetData>
    <row r="1" spans="2:7" ht="30" customHeight="1" x14ac:dyDescent="0.25">
      <c r="B1" s="30" t="s">
        <v>635</v>
      </c>
      <c r="C1" s="25"/>
      <c r="D1" s="25"/>
      <c r="E1" s="25"/>
      <c r="F1" s="25"/>
      <c r="G1" s="25"/>
    </row>
    <row r="2" spans="2:7" x14ac:dyDescent="0.25">
      <c r="B2" s="31" t="s">
        <v>636</v>
      </c>
      <c r="C2" s="25"/>
      <c r="D2" s="25"/>
      <c r="E2" s="25"/>
      <c r="F2" s="25"/>
      <c r="G2" s="25"/>
    </row>
    <row r="3" spans="2:7" ht="21.95" customHeight="1" x14ac:dyDescent="0.25">
      <c r="B3" s="41" t="s">
        <v>637</v>
      </c>
      <c r="C3" s="25"/>
      <c r="D3" s="25"/>
      <c r="E3" s="25"/>
      <c r="F3" s="25"/>
      <c r="G3" s="25"/>
    </row>
    <row r="4" spans="2:7" ht="18" customHeight="1" x14ac:dyDescent="0.25">
      <c r="B4" s="21" t="s">
        <v>638</v>
      </c>
      <c r="C4" s="21" t="s">
        <v>46</v>
      </c>
      <c r="D4" s="21" t="s">
        <v>639</v>
      </c>
      <c r="E4" s="21" t="s">
        <v>4</v>
      </c>
    </row>
    <row r="5" spans="2:7" ht="18" customHeight="1" x14ac:dyDescent="0.25">
      <c r="B5" s="10" t="s">
        <v>52</v>
      </c>
      <c r="C5" s="11" t="s">
        <v>640</v>
      </c>
      <c r="D5" s="11" t="s">
        <v>641</v>
      </c>
      <c r="E5" s="11" t="s">
        <v>642</v>
      </c>
    </row>
    <row r="6" spans="2:7" ht="18" customHeight="1" x14ac:dyDescent="0.25">
      <c r="B6" s="12" t="s">
        <v>643</v>
      </c>
      <c r="C6" s="13" t="s">
        <v>72</v>
      </c>
      <c r="D6" s="13" t="s">
        <v>644</v>
      </c>
      <c r="E6" s="13" t="s">
        <v>645</v>
      </c>
    </row>
    <row r="7" spans="2:7" ht="18" customHeight="1" x14ac:dyDescent="0.25">
      <c r="B7" s="10" t="s">
        <v>646</v>
      </c>
      <c r="C7" s="11" t="s">
        <v>640</v>
      </c>
      <c r="D7" s="11" t="s">
        <v>647</v>
      </c>
      <c r="E7" s="11" t="s">
        <v>648</v>
      </c>
    </row>
    <row r="8" spans="2:7" ht="18" customHeight="1" x14ac:dyDescent="0.25">
      <c r="B8" s="12" t="s">
        <v>649</v>
      </c>
      <c r="C8" s="13" t="s">
        <v>72</v>
      </c>
      <c r="D8" s="13" t="s">
        <v>650</v>
      </c>
      <c r="E8" s="13" t="s">
        <v>651</v>
      </c>
    </row>
    <row r="9" spans="2:7" ht="21.95" customHeight="1" x14ac:dyDescent="0.25">
      <c r="B9" s="39" t="s">
        <v>652</v>
      </c>
      <c r="C9" s="25"/>
      <c r="D9" s="25"/>
      <c r="E9" s="38" t="s">
        <v>653</v>
      </c>
      <c r="F9" s="25"/>
      <c r="G9" s="25"/>
    </row>
    <row r="10" spans="2:7" ht="21.95" customHeight="1" x14ac:dyDescent="0.25">
      <c r="B10" s="40" t="s">
        <v>654</v>
      </c>
      <c r="C10" s="25"/>
      <c r="D10" s="25"/>
      <c r="E10" s="37" t="s">
        <v>655</v>
      </c>
      <c r="F10" s="25"/>
      <c r="G10" s="25"/>
    </row>
    <row r="11" spans="2:7" ht="6" customHeight="1" x14ac:dyDescent="0.25"/>
    <row r="12" spans="2:7" ht="21.95" customHeight="1" x14ac:dyDescent="0.25">
      <c r="B12" s="41" t="s">
        <v>656</v>
      </c>
      <c r="C12" s="25"/>
      <c r="D12" s="25"/>
      <c r="E12" s="25"/>
      <c r="F12" s="25"/>
      <c r="G12" s="25"/>
    </row>
    <row r="13" spans="2:7" ht="18" customHeight="1" x14ac:dyDescent="0.25">
      <c r="B13" s="21" t="s">
        <v>638</v>
      </c>
      <c r="C13" s="21" t="s">
        <v>46</v>
      </c>
      <c r="D13" s="21" t="s">
        <v>639</v>
      </c>
      <c r="E13" s="21" t="s">
        <v>4</v>
      </c>
    </row>
    <row r="14" spans="2:7" ht="18" customHeight="1" x14ac:dyDescent="0.25">
      <c r="B14" s="10" t="s">
        <v>657</v>
      </c>
      <c r="C14" s="11" t="s">
        <v>640</v>
      </c>
      <c r="D14" s="11" t="s">
        <v>658</v>
      </c>
      <c r="E14" s="11" t="s">
        <v>75</v>
      </c>
    </row>
    <row r="15" spans="2:7" ht="18" customHeight="1" x14ac:dyDescent="0.25">
      <c r="B15" s="12" t="s">
        <v>52</v>
      </c>
      <c r="C15" s="13" t="s">
        <v>640</v>
      </c>
      <c r="D15" s="13" t="s">
        <v>659</v>
      </c>
      <c r="E15" s="13" t="s">
        <v>660</v>
      </c>
    </row>
    <row r="16" spans="2:7" ht="18" customHeight="1" x14ac:dyDescent="0.25">
      <c r="B16" s="10" t="s">
        <v>661</v>
      </c>
      <c r="C16" s="11" t="s">
        <v>72</v>
      </c>
      <c r="D16" s="11" t="s">
        <v>662</v>
      </c>
      <c r="E16" s="11" t="s">
        <v>663</v>
      </c>
    </row>
    <row r="17" spans="2:7" ht="18" customHeight="1" x14ac:dyDescent="0.25">
      <c r="B17" s="12" t="s">
        <v>664</v>
      </c>
      <c r="C17" s="13" t="s">
        <v>72</v>
      </c>
      <c r="D17" s="13" t="s">
        <v>665</v>
      </c>
      <c r="E17" s="13" t="s">
        <v>666</v>
      </c>
    </row>
    <row r="18" spans="2:7" ht="18" customHeight="1" x14ac:dyDescent="0.25">
      <c r="B18" s="10" t="s">
        <v>667</v>
      </c>
      <c r="C18" s="11" t="s">
        <v>98</v>
      </c>
      <c r="D18" s="11" t="s">
        <v>668</v>
      </c>
      <c r="E18" s="11" t="s">
        <v>669</v>
      </c>
    </row>
    <row r="19" spans="2:7" ht="18" customHeight="1" x14ac:dyDescent="0.25">
      <c r="B19" s="12" t="s">
        <v>670</v>
      </c>
      <c r="C19" s="13" t="s">
        <v>98</v>
      </c>
      <c r="D19" s="13" t="s">
        <v>75</v>
      </c>
      <c r="E19" s="13" t="s">
        <v>671</v>
      </c>
    </row>
    <row r="20" spans="2:7" ht="21.95" customHeight="1" x14ac:dyDescent="0.25">
      <c r="B20" s="39" t="s">
        <v>652</v>
      </c>
      <c r="C20" s="25"/>
      <c r="D20" s="25"/>
      <c r="E20" s="38" t="s">
        <v>672</v>
      </c>
      <c r="F20" s="25"/>
      <c r="G20" s="25"/>
    </row>
    <row r="21" spans="2:7" ht="21.95" customHeight="1" x14ac:dyDescent="0.25">
      <c r="B21" s="40" t="s">
        <v>654</v>
      </c>
      <c r="C21" s="25"/>
      <c r="D21" s="25"/>
      <c r="E21" s="37" t="s">
        <v>673</v>
      </c>
      <c r="F21" s="25"/>
      <c r="G21" s="25"/>
    </row>
    <row r="22" spans="2:7" ht="6" customHeight="1" x14ac:dyDescent="0.25"/>
    <row r="23" spans="2:7" ht="21.95" customHeight="1" x14ac:dyDescent="0.25">
      <c r="B23" s="41" t="s">
        <v>674</v>
      </c>
      <c r="C23" s="25"/>
      <c r="D23" s="25"/>
      <c r="E23" s="25"/>
      <c r="F23" s="25"/>
      <c r="G23" s="25"/>
    </row>
    <row r="24" spans="2:7" ht="18" customHeight="1" x14ac:dyDescent="0.25">
      <c r="B24" s="21" t="s">
        <v>638</v>
      </c>
      <c r="C24" s="21" t="s">
        <v>46</v>
      </c>
      <c r="D24" s="21" t="s">
        <v>639</v>
      </c>
      <c r="E24" s="21" t="s">
        <v>4</v>
      </c>
    </row>
    <row r="25" spans="2:7" ht="18" customHeight="1" x14ac:dyDescent="0.25">
      <c r="B25" s="10" t="s">
        <v>675</v>
      </c>
      <c r="C25" s="11" t="s">
        <v>640</v>
      </c>
      <c r="D25" s="11" t="s">
        <v>676</v>
      </c>
      <c r="E25" s="11" t="s">
        <v>677</v>
      </c>
    </row>
    <row r="26" spans="2:7" ht="18" customHeight="1" x14ac:dyDescent="0.25">
      <c r="B26" s="12" t="s">
        <v>52</v>
      </c>
      <c r="C26" s="13" t="s">
        <v>640</v>
      </c>
      <c r="D26" s="13" t="s">
        <v>641</v>
      </c>
      <c r="E26" s="13" t="s">
        <v>75</v>
      </c>
    </row>
    <row r="27" spans="2:7" ht="18" customHeight="1" x14ac:dyDescent="0.25">
      <c r="B27" s="10" t="s">
        <v>661</v>
      </c>
      <c r="C27" s="11" t="s">
        <v>72</v>
      </c>
      <c r="D27" s="11" t="s">
        <v>665</v>
      </c>
      <c r="E27" s="11" t="s">
        <v>678</v>
      </c>
    </row>
    <row r="28" spans="2:7" ht="21.95" customHeight="1" x14ac:dyDescent="0.25">
      <c r="B28" s="39" t="s">
        <v>652</v>
      </c>
      <c r="C28" s="25"/>
      <c r="D28" s="25"/>
      <c r="E28" s="38" t="s">
        <v>679</v>
      </c>
      <c r="F28" s="25"/>
      <c r="G28" s="25"/>
    </row>
    <row r="29" spans="2:7" ht="21.95" customHeight="1" x14ac:dyDescent="0.25">
      <c r="B29" s="40" t="s">
        <v>654</v>
      </c>
      <c r="C29" s="25"/>
      <c r="D29" s="25"/>
      <c r="E29" s="37" t="s">
        <v>680</v>
      </c>
      <c r="F29" s="25"/>
      <c r="G29" s="25"/>
    </row>
    <row r="30" spans="2:7" ht="6" customHeight="1" x14ac:dyDescent="0.25"/>
    <row r="31" spans="2:7" ht="21.95" customHeight="1" x14ac:dyDescent="0.25">
      <c r="B31" s="41" t="s">
        <v>681</v>
      </c>
      <c r="C31" s="25"/>
      <c r="D31" s="25"/>
      <c r="E31" s="25"/>
      <c r="F31" s="25"/>
      <c r="G31" s="25"/>
    </row>
    <row r="32" spans="2:7" ht="18" customHeight="1" x14ac:dyDescent="0.25">
      <c r="B32" s="21" t="s">
        <v>638</v>
      </c>
      <c r="C32" s="21" t="s">
        <v>46</v>
      </c>
      <c r="D32" s="21" t="s">
        <v>639</v>
      </c>
      <c r="E32" s="21" t="s">
        <v>4</v>
      </c>
    </row>
    <row r="33" spans="2:7" ht="18" customHeight="1" x14ac:dyDescent="0.25">
      <c r="B33" s="10" t="s">
        <v>52</v>
      </c>
      <c r="C33" s="11" t="s">
        <v>640</v>
      </c>
      <c r="D33" s="11" t="s">
        <v>641</v>
      </c>
      <c r="E33" s="11" t="s">
        <v>75</v>
      </c>
    </row>
    <row r="34" spans="2:7" ht="18" customHeight="1" x14ac:dyDescent="0.25">
      <c r="B34" s="12" t="s">
        <v>682</v>
      </c>
      <c r="C34" s="13" t="s">
        <v>640</v>
      </c>
      <c r="D34" s="13" t="s">
        <v>683</v>
      </c>
      <c r="E34" s="13" t="s">
        <v>75</v>
      </c>
    </row>
    <row r="35" spans="2:7" ht="18" customHeight="1" x14ac:dyDescent="0.25">
      <c r="B35" s="10" t="s">
        <v>65</v>
      </c>
      <c r="C35" s="11" t="s">
        <v>640</v>
      </c>
      <c r="D35" s="11" t="s">
        <v>684</v>
      </c>
      <c r="E35" s="11" t="s">
        <v>75</v>
      </c>
    </row>
    <row r="36" spans="2:7" ht="18" customHeight="1" x14ac:dyDescent="0.25">
      <c r="B36" s="12" t="s">
        <v>685</v>
      </c>
      <c r="C36" s="13" t="s">
        <v>159</v>
      </c>
      <c r="D36" s="13" t="s">
        <v>686</v>
      </c>
      <c r="E36" s="13" t="s">
        <v>687</v>
      </c>
    </row>
    <row r="37" spans="2:7" ht="18" customHeight="1" x14ac:dyDescent="0.25">
      <c r="B37" s="10" t="s">
        <v>688</v>
      </c>
      <c r="C37" s="11" t="s">
        <v>159</v>
      </c>
      <c r="D37" s="11" t="s">
        <v>689</v>
      </c>
      <c r="E37" s="11" t="s">
        <v>690</v>
      </c>
    </row>
    <row r="38" spans="2:7" ht="18" customHeight="1" x14ac:dyDescent="0.25">
      <c r="B38" s="12" t="s">
        <v>691</v>
      </c>
      <c r="C38" s="13" t="s">
        <v>159</v>
      </c>
      <c r="D38" s="13" t="s">
        <v>692</v>
      </c>
      <c r="E38" s="13" t="s">
        <v>693</v>
      </c>
    </row>
    <row r="39" spans="2:7" ht="18" customHeight="1" x14ac:dyDescent="0.25">
      <c r="B39" s="10" t="s">
        <v>694</v>
      </c>
      <c r="C39" s="11" t="s">
        <v>159</v>
      </c>
      <c r="D39" s="11" t="s">
        <v>686</v>
      </c>
      <c r="E39" s="11" t="s">
        <v>695</v>
      </c>
    </row>
    <row r="40" spans="2:7" ht="18" customHeight="1" x14ac:dyDescent="0.25">
      <c r="B40" s="12" t="s">
        <v>696</v>
      </c>
      <c r="C40" s="13" t="s">
        <v>159</v>
      </c>
      <c r="D40" s="13" t="s">
        <v>692</v>
      </c>
      <c r="E40" s="13" t="s">
        <v>697</v>
      </c>
    </row>
    <row r="41" spans="2:7" ht="18" customHeight="1" x14ac:dyDescent="0.25">
      <c r="B41" s="10" t="s">
        <v>698</v>
      </c>
      <c r="C41" s="11" t="s">
        <v>159</v>
      </c>
      <c r="D41" s="11" t="s">
        <v>699</v>
      </c>
      <c r="E41" s="11" t="s">
        <v>700</v>
      </c>
    </row>
    <row r="42" spans="2:7" ht="18" customHeight="1" x14ac:dyDescent="0.25">
      <c r="B42" s="12" t="s">
        <v>701</v>
      </c>
      <c r="C42" s="13" t="s">
        <v>72</v>
      </c>
      <c r="D42" s="13" t="s">
        <v>702</v>
      </c>
      <c r="E42" s="13" t="s">
        <v>703</v>
      </c>
    </row>
    <row r="43" spans="2:7" ht="18" customHeight="1" x14ac:dyDescent="0.25">
      <c r="B43" s="10" t="s">
        <v>704</v>
      </c>
      <c r="C43" s="11" t="s">
        <v>159</v>
      </c>
      <c r="D43" s="11" t="s">
        <v>705</v>
      </c>
      <c r="E43" s="11" t="s">
        <v>706</v>
      </c>
    </row>
    <row r="44" spans="2:7" ht="18" customHeight="1" x14ac:dyDescent="0.25">
      <c r="B44" s="12" t="s">
        <v>707</v>
      </c>
      <c r="C44" s="13" t="s">
        <v>159</v>
      </c>
      <c r="D44" s="13" t="s">
        <v>668</v>
      </c>
      <c r="E44" s="13" t="s">
        <v>708</v>
      </c>
    </row>
    <row r="45" spans="2:7" ht="18" customHeight="1" x14ac:dyDescent="0.25">
      <c r="B45" s="10" t="s">
        <v>709</v>
      </c>
      <c r="C45" s="11" t="s">
        <v>72</v>
      </c>
      <c r="D45" s="11" t="s">
        <v>702</v>
      </c>
      <c r="E45" s="11" t="s">
        <v>710</v>
      </c>
    </row>
    <row r="46" spans="2:7" ht="18" customHeight="1" x14ac:dyDescent="0.25">
      <c r="B46" s="12" t="s">
        <v>711</v>
      </c>
      <c r="C46" s="13" t="s">
        <v>159</v>
      </c>
      <c r="D46" s="13" t="s">
        <v>75</v>
      </c>
      <c r="E46" s="13" t="s">
        <v>712</v>
      </c>
    </row>
    <row r="47" spans="2:7" ht="18" customHeight="1" x14ac:dyDescent="0.25">
      <c r="B47" s="10" t="s">
        <v>713</v>
      </c>
      <c r="C47" s="11" t="s">
        <v>72</v>
      </c>
      <c r="D47" s="11" t="s">
        <v>75</v>
      </c>
      <c r="E47" s="11" t="s">
        <v>714</v>
      </c>
    </row>
    <row r="48" spans="2:7" ht="21.95" customHeight="1" x14ac:dyDescent="0.25">
      <c r="B48" s="39" t="s">
        <v>652</v>
      </c>
      <c r="C48" s="25"/>
      <c r="D48" s="25"/>
      <c r="E48" s="38" t="s">
        <v>715</v>
      </c>
      <c r="F48" s="25"/>
      <c r="G48" s="25"/>
    </row>
    <row r="49" spans="2:7" ht="21.95" customHeight="1" x14ac:dyDescent="0.25">
      <c r="B49" s="40" t="s">
        <v>654</v>
      </c>
      <c r="C49" s="25"/>
      <c r="D49" s="25"/>
      <c r="E49" s="37" t="s">
        <v>716</v>
      </c>
      <c r="F49" s="25"/>
      <c r="G49" s="25"/>
    </row>
    <row r="50" spans="2:7" ht="6" customHeight="1" x14ac:dyDescent="0.25"/>
    <row r="51" spans="2:7" ht="21.95" customHeight="1" x14ac:dyDescent="0.25">
      <c r="B51" s="41" t="s">
        <v>717</v>
      </c>
      <c r="C51" s="25"/>
      <c r="D51" s="25"/>
      <c r="E51" s="25"/>
      <c r="F51" s="25"/>
      <c r="G51" s="25"/>
    </row>
    <row r="52" spans="2:7" ht="18" customHeight="1" x14ac:dyDescent="0.25">
      <c r="B52" s="21" t="s">
        <v>638</v>
      </c>
      <c r="C52" s="21" t="s">
        <v>46</v>
      </c>
      <c r="D52" s="21" t="s">
        <v>639</v>
      </c>
      <c r="E52" s="21" t="s">
        <v>4</v>
      </c>
    </row>
    <row r="53" spans="2:7" ht="18" customHeight="1" x14ac:dyDescent="0.25">
      <c r="B53" s="10" t="s">
        <v>718</v>
      </c>
      <c r="C53" s="11" t="s">
        <v>640</v>
      </c>
      <c r="D53" s="11" t="s">
        <v>719</v>
      </c>
      <c r="E53" s="11" t="s">
        <v>720</v>
      </c>
    </row>
    <row r="54" spans="2:7" ht="18" customHeight="1" x14ac:dyDescent="0.25">
      <c r="B54" s="12" t="s">
        <v>52</v>
      </c>
      <c r="C54" s="13" t="s">
        <v>640</v>
      </c>
      <c r="D54" s="13" t="s">
        <v>659</v>
      </c>
      <c r="E54" s="13" t="s">
        <v>660</v>
      </c>
    </row>
    <row r="55" spans="2:7" ht="18" customHeight="1" x14ac:dyDescent="0.25">
      <c r="B55" s="10" t="s">
        <v>547</v>
      </c>
      <c r="C55" s="11" t="s">
        <v>72</v>
      </c>
      <c r="D55" s="11" t="s">
        <v>721</v>
      </c>
      <c r="E55" s="11" t="s">
        <v>722</v>
      </c>
    </row>
    <row r="56" spans="2:7" ht="21.95" customHeight="1" x14ac:dyDescent="0.25">
      <c r="B56" s="39" t="s">
        <v>652</v>
      </c>
      <c r="C56" s="25"/>
      <c r="D56" s="25"/>
      <c r="E56" s="38" t="s">
        <v>723</v>
      </c>
      <c r="F56" s="25"/>
      <c r="G56" s="25"/>
    </row>
    <row r="57" spans="2:7" ht="21.95" customHeight="1" x14ac:dyDescent="0.25">
      <c r="B57" s="40" t="s">
        <v>654</v>
      </c>
      <c r="C57" s="25"/>
      <c r="D57" s="25"/>
      <c r="E57" s="37" t="s">
        <v>724</v>
      </c>
      <c r="F57" s="25"/>
      <c r="G57" s="25"/>
    </row>
    <row r="58" spans="2:7" ht="6" customHeight="1" x14ac:dyDescent="0.25"/>
    <row r="59" spans="2:7" ht="21.95" customHeight="1" x14ac:dyDescent="0.25">
      <c r="B59" s="41" t="s">
        <v>725</v>
      </c>
      <c r="C59" s="25"/>
      <c r="D59" s="25"/>
      <c r="E59" s="25"/>
      <c r="F59" s="25"/>
      <c r="G59" s="25"/>
    </row>
    <row r="60" spans="2:7" ht="18" customHeight="1" x14ac:dyDescent="0.25">
      <c r="B60" s="21" t="s">
        <v>638</v>
      </c>
      <c r="C60" s="21" t="s">
        <v>46</v>
      </c>
      <c r="D60" s="21" t="s">
        <v>639</v>
      </c>
      <c r="E60" s="21" t="s">
        <v>4</v>
      </c>
    </row>
    <row r="61" spans="2:7" ht="18" customHeight="1" x14ac:dyDescent="0.25">
      <c r="B61" s="10" t="s">
        <v>726</v>
      </c>
      <c r="C61" s="11" t="s">
        <v>640</v>
      </c>
      <c r="D61" s="11" t="s">
        <v>641</v>
      </c>
      <c r="E61" s="11" t="s">
        <v>75</v>
      </c>
    </row>
    <row r="62" spans="2:7" ht="18" customHeight="1" x14ac:dyDescent="0.25">
      <c r="B62" s="12" t="s">
        <v>250</v>
      </c>
      <c r="C62" s="13" t="s">
        <v>640</v>
      </c>
      <c r="D62" s="13" t="s">
        <v>727</v>
      </c>
      <c r="E62" s="13" t="s">
        <v>75</v>
      </c>
    </row>
    <row r="63" spans="2:7" ht="18" customHeight="1" x14ac:dyDescent="0.25">
      <c r="B63" s="10" t="s">
        <v>657</v>
      </c>
      <c r="C63" s="11" t="s">
        <v>640</v>
      </c>
      <c r="D63" s="11" t="s">
        <v>728</v>
      </c>
      <c r="E63" s="11" t="s">
        <v>75</v>
      </c>
    </row>
    <row r="64" spans="2:7" ht="18" customHeight="1" x14ac:dyDescent="0.25">
      <c r="B64" s="12" t="s">
        <v>729</v>
      </c>
      <c r="C64" s="13" t="s">
        <v>730</v>
      </c>
      <c r="D64" s="13" t="s">
        <v>75</v>
      </c>
      <c r="E64" s="13" t="s">
        <v>731</v>
      </c>
    </row>
    <row r="65" spans="2:7" ht="18" customHeight="1" x14ac:dyDescent="0.25">
      <c r="B65" s="10" t="s">
        <v>732</v>
      </c>
      <c r="C65" s="11" t="s">
        <v>640</v>
      </c>
      <c r="D65" s="11" t="s">
        <v>733</v>
      </c>
      <c r="E65" s="11" t="s">
        <v>734</v>
      </c>
    </row>
    <row r="66" spans="2:7" ht="18" customHeight="1" x14ac:dyDescent="0.25">
      <c r="B66" s="12" t="s">
        <v>735</v>
      </c>
      <c r="C66" s="13" t="s">
        <v>72</v>
      </c>
      <c r="D66" s="13" t="s">
        <v>736</v>
      </c>
      <c r="E66" s="13" t="s">
        <v>737</v>
      </c>
    </row>
    <row r="67" spans="2:7" ht="21.95" customHeight="1" x14ac:dyDescent="0.25">
      <c r="B67" s="39" t="s">
        <v>652</v>
      </c>
      <c r="C67" s="25"/>
      <c r="D67" s="25"/>
      <c r="E67" s="38" t="s">
        <v>738</v>
      </c>
      <c r="F67" s="25"/>
      <c r="G67" s="25"/>
    </row>
    <row r="68" spans="2:7" ht="21.95" customHeight="1" x14ac:dyDescent="0.25">
      <c r="B68" s="40" t="s">
        <v>654</v>
      </c>
      <c r="C68" s="25"/>
      <c r="D68" s="25"/>
      <c r="E68" s="37" t="s">
        <v>739</v>
      </c>
      <c r="F68" s="25"/>
      <c r="G68" s="25"/>
    </row>
    <row r="69" spans="2:7" ht="6" customHeight="1" x14ac:dyDescent="0.25"/>
    <row r="70" spans="2:7" ht="21.95" customHeight="1" x14ac:dyDescent="0.25">
      <c r="B70" s="41" t="s">
        <v>740</v>
      </c>
      <c r="C70" s="25"/>
      <c r="D70" s="25"/>
      <c r="E70" s="25"/>
      <c r="F70" s="25"/>
      <c r="G70" s="25"/>
    </row>
    <row r="71" spans="2:7" ht="18" customHeight="1" x14ac:dyDescent="0.25">
      <c r="B71" s="21" t="s">
        <v>638</v>
      </c>
      <c r="C71" s="21" t="s">
        <v>46</v>
      </c>
      <c r="D71" s="21" t="s">
        <v>639</v>
      </c>
      <c r="E71" s="21" t="s">
        <v>4</v>
      </c>
    </row>
    <row r="72" spans="2:7" ht="18" customHeight="1" x14ac:dyDescent="0.25">
      <c r="B72" s="10" t="s">
        <v>726</v>
      </c>
      <c r="C72" s="11" t="s">
        <v>640</v>
      </c>
      <c r="D72" s="11" t="s">
        <v>641</v>
      </c>
      <c r="E72" s="11" t="s">
        <v>75</v>
      </c>
    </row>
    <row r="73" spans="2:7" ht="18" customHeight="1" x14ac:dyDescent="0.25">
      <c r="B73" s="12" t="s">
        <v>222</v>
      </c>
      <c r="C73" s="13" t="s">
        <v>72</v>
      </c>
      <c r="D73" s="13" t="s">
        <v>741</v>
      </c>
      <c r="E73" s="13" t="s">
        <v>742</v>
      </c>
    </row>
    <row r="74" spans="2:7" ht="18" customHeight="1" x14ac:dyDescent="0.25">
      <c r="B74" s="10" t="s">
        <v>743</v>
      </c>
      <c r="C74" s="11" t="s">
        <v>72</v>
      </c>
      <c r="D74" s="11" t="s">
        <v>744</v>
      </c>
      <c r="E74" s="11" t="s">
        <v>745</v>
      </c>
    </row>
    <row r="75" spans="2:7" ht="18" customHeight="1" x14ac:dyDescent="0.25">
      <c r="B75" s="12" t="s">
        <v>227</v>
      </c>
      <c r="C75" s="13" t="s">
        <v>72</v>
      </c>
      <c r="D75" s="13" t="s">
        <v>746</v>
      </c>
      <c r="E75" s="13" t="s">
        <v>747</v>
      </c>
    </row>
    <row r="76" spans="2:7" ht="18" customHeight="1" x14ac:dyDescent="0.25">
      <c r="B76" s="10" t="s">
        <v>232</v>
      </c>
      <c r="C76" s="11" t="s">
        <v>72</v>
      </c>
      <c r="D76" s="11" t="s">
        <v>746</v>
      </c>
      <c r="E76" s="11" t="s">
        <v>748</v>
      </c>
    </row>
    <row r="77" spans="2:7" ht="18" customHeight="1" x14ac:dyDescent="0.25">
      <c r="B77" s="12" t="s">
        <v>235</v>
      </c>
      <c r="C77" s="13" t="s">
        <v>72</v>
      </c>
      <c r="D77" s="13" t="s">
        <v>746</v>
      </c>
      <c r="E77" s="13" t="s">
        <v>749</v>
      </c>
    </row>
    <row r="78" spans="2:7" ht="21.95" customHeight="1" x14ac:dyDescent="0.25">
      <c r="B78" s="39" t="s">
        <v>652</v>
      </c>
      <c r="C78" s="25"/>
      <c r="D78" s="25"/>
      <c r="E78" s="38" t="s">
        <v>750</v>
      </c>
      <c r="F78" s="25"/>
      <c r="G78" s="25"/>
    </row>
    <row r="79" spans="2:7" ht="21.95" customHeight="1" x14ac:dyDescent="0.25">
      <c r="B79" s="40" t="s">
        <v>654</v>
      </c>
      <c r="C79" s="25"/>
      <c r="D79" s="25"/>
      <c r="E79" s="37" t="s">
        <v>751</v>
      </c>
      <c r="F79" s="25"/>
      <c r="G79" s="25"/>
    </row>
    <row r="80" spans="2:7" ht="6" customHeight="1" x14ac:dyDescent="0.25"/>
    <row r="81" spans="2:7" ht="21.95" customHeight="1" x14ac:dyDescent="0.25">
      <c r="B81" s="41" t="s">
        <v>752</v>
      </c>
      <c r="C81" s="25"/>
      <c r="D81" s="25"/>
      <c r="E81" s="25"/>
      <c r="F81" s="25"/>
      <c r="G81" s="25"/>
    </row>
    <row r="82" spans="2:7" ht="18" customHeight="1" x14ac:dyDescent="0.25">
      <c r="B82" s="21" t="s">
        <v>638</v>
      </c>
      <c r="C82" s="21" t="s">
        <v>46</v>
      </c>
      <c r="D82" s="21" t="s">
        <v>639</v>
      </c>
      <c r="E82" s="21" t="s">
        <v>4</v>
      </c>
    </row>
    <row r="83" spans="2:7" ht="18" customHeight="1" x14ac:dyDescent="0.25">
      <c r="B83" s="10" t="s">
        <v>753</v>
      </c>
      <c r="C83" s="11" t="s">
        <v>640</v>
      </c>
      <c r="D83" s="11" t="s">
        <v>754</v>
      </c>
      <c r="E83" s="11" t="s">
        <v>75</v>
      </c>
    </row>
    <row r="84" spans="2:7" ht="18" customHeight="1" x14ac:dyDescent="0.25">
      <c r="B84" s="12" t="s">
        <v>755</v>
      </c>
      <c r="C84" s="13" t="s">
        <v>640</v>
      </c>
      <c r="D84" s="13" t="s">
        <v>756</v>
      </c>
      <c r="E84" s="13" t="s">
        <v>75</v>
      </c>
    </row>
    <row r="85" spans="2:7" ht="18" customHeight="1" x14ac:dyDescent="0.25">
      <c r="B85" s="10" t="s">
        <v>757</v>
      </c>
      <c r="C85" s="11" t="s">
        <v>640</v>
      </c>
      <c r="D85" s="11" t="s">
        <v>758</v>
      </c>
      <c r="E85" s="11" t="s">
        <v>759</v>
      </c>
    </row>
    <row r="86" spans="2:7" ht="18" customHeight="1" x14ac:dyDescent="0.25">
      <c r="B86" s="12" t="s">
        <v>649</v>
      </c>
      <c r="C86" s="13" t="s">
        <v>72</v>
      </c>
      <c r="D86" s="13" t="s">
        <v>760</v>
      </c>
      <c r="E86" s="13" t="s">
        <v>761</v>
      </c>
    </row>
    <row r="87" spans="2:7" ht="21.95" customHeight="1" x14ac:dyDescent="0.25">
      <c r="B87" s="39" t="s">
        <v>652</v>
      </c>
      <c r="C87" s="25"/>
      <c r="D87" s="25"/>
      <c r="E87" s="38" t="s">
        <v>762</v>
      </c>
      <c r="F87" s="25"/>
      <c r="G87" s="25"/>
    </row>
    <row r="88" spans="2:7" ht="21.95" customHeight="1" x14ac:dyDescent="0.25">
      <c r="B88" s="40" t="s">
        <v>654</v>
      </c>
      <c r="C88" s="25"/>
      <c r="D88" s="25"/>
      <c r="E88" s="37" t="s">
        <v>763</v>
      </c>
      <c r="F88" s="25"/>
      <c r="G88" s="25"/>
    </row>
    <row r="89" spans="2:7" ht="6" customHeight="1" x14ac:dyDescent="0.25"/>
    <row r="90" spans="2:7" ht="21.95" customHeight="1" x14ac:dyDescent="0.25">
      <c r="B90" s="41" t="s">
        <v>764</v>
      </c>
      <c r="C90" s="25"/>
      <c r="D90" s="25"/>
      <c r="E90" s="25"/>
      <c r="F90" s="25"/>
      <c r="G90" s="25"/>
    </row>
    <row r="91" spans="2:7" ht="18" customHeight="1" x14ac:dyDescent="0.25">
      <c r="B91" s="21" t="s">
        <v>638</v>
      </c>
      <c r="C91" s="21" t="s">
        <v>46</v>
      </c>
      <c r="D91" s="21" t="s">
        <v>639</v>
      </c>
      <c r="E91" s="21" t="s">
        <v>4</v>
      </c>
    </row>
    <row r="92" spans="2:7" ht="18" customHeight="1" x14ac:dyDescent="0.25">
      <c r="B92" s="10" t="s">
        <v>52</v>
      </c>
      <c r="C92" s="11" t="s">
        <v>640</v>
      </c>
      <c r="D92" s="11" t="s">
        <v>641</v>
      </c>
      <c r="E92" s="11" t="s">
        <v>75</v>
      </c>
    </row>
    <row r="93" spans="2:7" ht="18" customHeight="1" x14ac:dyDescent="0.25">
      <c r="B93" s="12" t="s">
        <v>91</v>
      </c>
      <c r="C93" s="13" t="s">
        <v>640</v>
      </c>
      <c r="D93" s="13" t="s">
        <v>765</v>
      </c>
      <c r="E93" s="13" t="s">
        <v>75</v>
      </c>
    </row>
    <row r="94" spans="2:7" ht="18" customHeight="1" x14ac:dyDescent="0.25">
      <c r="B94" s="10" t="s">
        <v>766</v>
      </c>
      <c r="C94" s="11" t="s">
        <v>98</v>
      </c>
      <c r="D94" s="11" t="s">
        <v>686</v>
      </c>
      <c r="E94" s="11" t="s">
        <v>767</v>
      </c>
    </row>
    <row r="95" spans="2:7" ht="18" customHeight="1" x14ac:dyDescent="0.25">
      <c r="B95" s="12" t="s">
        <v>768</v>
      </c>
      <c r="C95" s="13" t="s">
        <v>159</v>
      </c>
      <c r="D95" s="13" t="s">
        <v>686</v>
      </c>
      <c r="E95" s="13" t="s">
        <v>769</v>
      </c>
    </row>
    <row r="96" spans="2:7" ht="21.95" customHeight="1" x14ac:dyDescent="0.25">
      <c r="B96" s="39" t="s">
        <v>652</v>
      </c>
      <c r="C96" s="25"/>
      <c r="D96" s="25"/>
      <c r="E96" s="38" t="s">
        <v>770</v>
      </c>
      <c r="F96" s="25"/>
      <c r="G96" s="25"/>
    </row>
    <row r="97" spans="2:7" ht="21.95" customHeight="1" x14ac:dyDescent="0.25">
      <c r="B97" s="40" t="s">
        <v>654</v>
      </c>
      <c r="C97" s="25"/>
      <c r="D97" s="25"/>
      <c r="E97" s="37" t="s">
        <v>771</v>
      </c>
      <c r="F97" s="25"/>
      <c r="G97" s="25"/>
    </row>
    <row r="98" spans="2:7" ht="6" customHeight="1" x14ac:dyDescent="0.25"/>
  </sheetData>
  <mergeCells count="47">
    <mergeCell ref="E97:G97"/>
    <mergeCell ref="B79:D79"/>
    <mergeCell ref="B97:D97"/>
    <mergeCell ref="E56:G56"/>
    <mergeCell ref="E96:G96"/>
    <mergeCell ref="E68:G68"/>
    <mergeCell ref="E87:G87"/>
    <mergeCell ref="B81:G81"/>
    <mergeCell ref="B90:G90"/>
    <mergeCell ref="B59:G59"/>
    <mergeCell ref="E67:G67"/>
    <mergeCell ref="E79:G79"/>
    <mergeCell ref="B56:D56"/>
    <mergeCell ref="B96:D96"/>
    <mergeCell ref="E88:G88"/>
    <mergeCell ref="B70:G70"/>
    <mergeCell ref="B1:G1"/>
    <mergeCell ref="E78:G78"/>
    <mergeCell ref="E9:G9"/>
    <mergeCell ref="B88:D88"/>
    <mergeCell ref="B78:D78"/>
    <mergeCell ref="B29:D29"/>
    <mergeCell ref="B87:D87"/>
    <mergeCell ref="B10:D10"/>
    <mergeCell ref="B28:D28"/>
    <mergeCell ref="E49:G49"/>
    <mergeCell ref="B49:D49"/>
    <mergeCell ref="B9:D9"/>
    <mergeCell ref="E57:G57"/>
    <mergeCell ref="B68:D68"/>
    <mergeCell ref="B20:D20"/>
    <mergeCell ref="B51:G51"/>
    <mergeCell ref="B2:G2"/>
    <mergeCell ref="E10:G10"/>
    <mergeCell ref="E28:G28"/>
    <mergeCell ref="B67:D67"/>
    <mergeCell ref="B57:D57"/>
    <mergeCell ref="B23:G23"/>
    <mergeCell ref="E20:G20"/>
    <mergeCell ref="E21:G21"/>
    <mergeCell ref="B3:G3"/>
    <mergeCell ref="B31:G31"/>
    <mergeCell ref="E48:G48"/>
    <mergeCell ref="B12:G12"/>
    <mergeCell ref="B21:D21"/>
    <mergeCell ref="E29:G29"/>
    <mergeCell ref="B48:D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22"/>
  <sheetViews>
    <sheetView showGridLines="0" workbookViewId="0"/>
  </sheetViews>
  <sheetFormatPr defaultRowHeight="15" x14ac:dyDescent="0.25"/>
  <cols>
    <col min="1" max="1" width="3" customWidth="1"/>
    <col min="2" max="2" width="12" customWidth="1"/>
    <col min="3" max="3" width="28" customWidth="1"/>
    <col min="4" max="4" width="34" customWidth="1"/>
    <col min="5" max="5" width="28" customWidth="1"/>
    <col min="6" max="6" width="20" customWidth="1"/>
    <col min="7" max="7" width="14" customWidth="1"/>
  </cols>
  <sheetData>
    <row r="1" spans="2:7" ht="30" customHeight="1" x14ac:dyDescent="0.25">
      <c r="B1" s="30" t="s">
        <v>772</v>
      </c>
      <c r="C1" s="25"/>
      <c r="D1" s="25"/>
      <c r="E1" s="25"/>
      <c r="F1" s="25"/>
      <c r="G1" s="25"/>
    </row>
    <row r="2" spans="2:7" ht="24" customHeight="1" x14ac:dyDescent="0.25">
      <c r="B2" s="9" t="s">
        <v>773</v>
      </c>
      <c r="C2" s="9" t="s">
        <v>774</v>
      </c>
      <c r="D2" s="9" t="s">
        <v>4</v>
      </c>
      <c r="E2" s="9" t="s">
        <v>775</v>
      </c>
      <c r="F2" s="9" t="s">
        <v>776</v>
      </c>
      <c r="G2" s="9" t="s">
        <v>777</v>
      </c>
    </row>
    <row r="3" spans="2:7" ht="36" customHeight="1" x14ac:dyDescent="0.25">
      <c r="B3" s="10" t="s">
        <v>68</v>
      </c>
      <c r="C3" s="11" t="s">
        <v>550</v>
      </c>
      <c r="D3" s="11" t="s">
        <v>778</v>
      </c>
      <c r="E3" s="11" t="s">
        <v>779</v>
      </c>
      <c r="F3" s="11" t="s">
        <v>780</v>
      </c>
      <c r="G3" s="11" t="s">
        <v>781</v>
      </c>
    </row>
    <row r="4" spans="2:7" ht="36" customHeight="1" x14ac:dyDescent="0.25">
      <c r="B4" s="12" t="s">
        <v>782</v>
      </c>
      <c r="C4" s="13" t="s">
        <v>783</v>
      </c>
      <c r="D4" s="13" t="s">
        <v>784</v>
      </c>
      <c r="E4" s="13" t="s">
        <v>785</v>
      </c>
      <c r="F4" s="13" t="s">
        <v>786</v>
      </c>
      <c r="G4" s="13" t="s">
        <v>781</v>
      </c>
    </row>
    <row r="5" spans="2:7" ht="36" customHeight="1" x14ac:dyDescent="0.25">
      <c r="B5" s="10" t="s">
        <v>787</v>
      </c>
      <c r="C5" s="11" t="s">
        <v>788</v>
      </c>
      <c r="D5" s="11" t="s">
        <v>789</v>
      </c>
      <c r="E5" s="11" t="s">
        <v>790</v>
      </c>
      <c r="F5" s="11" t="s">
        <v>791</v>
      </c>
      <c r="G5" s="11" t="s">
        <v>781</v>
      </c>
    </row>
    <row r="6" spans="2:7" ht="36" customHeight="1" x14ac:dyDescent="0.25">
      <c r="B6" s="12" t="s">
        <v>792</v>
      </c>
      <c r="C6" s="13" t="s">
        <v>793</v>
      </c>
      <c r="D6" s="13" t="s">
        <v>794</v>
      </c>
      <c r="E6" s="13" t="s">
        <v>795</v>
      </c>
      <c r="F6" s="13" t="s">
        <v>796</v>
      </c>
      <c r="G6" s="13" t="s">
        <v>781</v>
      </c>
    </row>
    <row r="7" spans="2:7" ht="36" customHeight="1" x14ac:dyDescent="0.25">
      <c r="B7" s="10" t="s">
        <v>797</v>
      </c>
      <c r="C7" s="11" t="s">
        <v>798</v>
      </c>
      <c r="D7" s="11" t="s">
        <v>799</v>
      </c>
      <c r="E7" s="11" t="s">
        <v>800</v>
      </c>
      <c r="F7" s="11" t="s">
        <v>801</v>
      </c>
      <c r="G7" s="11" t="s">
        <v>802</v>
      </c>
    </row>
    <row r="8" spans="2:7" ht="36" customHeight="1" x14ac:dyDescent="0.25">
      <c r="B8" s="12" t="s">
        <v>803</v>
      </c>
      <c r="C8" s="13" t="s">
        <v>804</v>
      </c>
      <c r="D8" s="13" t="s">
        <v>805</v>
      </c>
      <c r="E8" s="13" t="s">
        <v>806</v>
      </c>
      <c r="F8" s="13" t="s">
        <v>807</v>
      </c>
      <c r="G8" s="13" t="s">
        <v>808</v>
      </c>
    </row>
    <row r="9" spans="2:7" ht="9.9499999999999993" customHeight="1" x14ac:dyDescent="0.25"/>
    <row r="10" spans="2:7" x14ac:dyDescent="0.25">
      <c r="B10" s="32" t="s">
        <v>809</v>
      </c>
      <c r="C10" s="25"/>
      <c r="D10" s="25"/>
      <c r="E10" s="25"/>
      <c r="F10" s="25"/>
      <c r="G10" s="25"/>
    </row>
    <row r="11" spans="2:7" ht="20.100000000000001" customHeight="1" x14ac:dyDescent="0.25">
      <c r="B11" s="9" t="s">
        <v>773</v>
      </c>
      <c r="C11" s="9" t="s">
        <v>4</v>
      </c>
      <c r="D11" s="9" t="s">
        <v>810</v>
      </c>
      <c r="E11" s="9" t="s">
        <v>811</v>
      </c>
      <c r="F11" s="9" t="s">
        <v>50</v>
      </c>
    </row>
    <row r="12" spans="2:7" ht="21.95" customHeight="1" x14ac:dyDescent="0.25">
      <c r="B12" s="10" t="s">
        <v>81</v>
      </c>
      <c r="C12" s="11" t="s">
        <v>812</v>
      </c>
      <c r="D12" s="11" t="s">
        <v>813</v>
      </c>
      <c r="E12" s="11" t="s">
        <v>814</v>
      </c>
      <c r="F12" s="11" t="s">
        <v>815</v>
      </c>
    </row>
    <row r="13" spans="2:7" ht="21.95" customHeight="1" x14ac:dyDescent="0.25">
      <c r="B13" s="12" t="s">
        <v>553</v>
      </c>
      <c r="C13" s="13" t="s">
        <v>554</v>
      </c>
      <c r="D13" s="13" t="s">
        <v>816</v>
      </c>
      <c r="E13" s="13" t="s">
        <v>817</v>
      </c>
      <c r="F13" s="13" t="s">
        <v>818</v>
      </c>
    </row>
    <row r="14" spans="2:7" ht="21.95" customHeight="1" x14ac:dyDescent="0.25">
      <c r="B14" s="10" t="s">
        <v>819</v>
      </c>
      <c r="C14" s="11" t="s">
        <v>820</v>
      </c>
      <c r="D14" s="11" t="s">
        <v>816</v>
      </c>
      <c r="E14" s="11" t="s">
        <v>817</v>
      </c>
      <c r="F14" s="11" t="s">
        <v>75</v>
      </c>
    </row>
    <row r="15" spans="2:7" ht="21.95" customHeight="1" x14ac:dyDescent="0.25">
      <c r="B15" s="12" t="s">
        <v>821</v>
      </c>
      <c r="C15" s="13" t="s">
        <v>822</v>
      </c>
      <c r="D15" s="13" t="s">
        <v>816</v>
      </c>
      <c r="E15" s="13" t="s">
        <v>817</v>
      </c>
      <c r="F15" s="13" t="s">
        <v>75</v>
      </c>
    </row>
    <row r="16" spans="2:7" ht="21.95" customHeight="1" x14ac:dyDescent="0.25">
      <c r="B16" s="10" t="s">
        <v>823</v>
      </c>
      <c r="C16" s="11" t="s">
        <v>824</v>
      </c>
      <c r="D16" s="11" t="s">
        <v>816</v>
      </c>
      <c r="E16" s="11" t="s">
        <v>817</v>
      </c>
      <c r="F16" s="11" t="s">
        <v>825</v>
      </c>
    </row>
    <row r="17" spans="2:6" ht="21.95" customHeight="1" x14ac:dyDescent="0.25">
      <c r="B17" s="12" t="s">
        <v>826</v>
      </c>
      <c r="C17" s="13" t="s">
        <v>827</v>
      </c>
      <c r="D17" s="13" t="s">
        <v>816</v>
      </c>
      <c r="E17" s="13" t="s">
        <v>817</v>
      </c>
      <c r="F17" s="13" t="s">
        <v>75</v>
      </c>
    </row>
    <row r="18" spans="2:6" ht="21.95" customHeight="1" x14ac:dyDescent="0.25">
      <c r="B18" s="10" t="s">
        <v>828</v>
      </c>
      <c r="C18" s="11" t="s">
        <v>829</v>
      </c>
      <c r="D18" s="11" t="s">
        <v>816</v>
      </c>
      <c r="E18" s="11" t="s">
        <v>817</v>
      </c>
      <c r="F18" s="11" t="s">
        <v>75</v>
      </c>
    </row>
    <row r="19" spans="2:6" ht="21.95" customHeight="1" x14ac:dyDescent="0.25">
      <c r="B19" s="12" t="s">
        <v>830</v>
      </c>
      <c r="C19" s="13" t="s">
        <v>831</v>
      </c>
      <c r="D19" s="13" t="s">
        <v>816</v>
      </c>
      <c r="E19" s="13" t="s">
        <v>817</v>
      </c>
      <c r="F19" s="13" t="s">
        <v>75</v>
      </c>
    </row>
    <row r="20" spans="2:6" ht="21.95" customHeight="1" x14ac:dyDescent="0.25">
      <c r="B20" s="10" t="s">
        <v>832</v>
      </c>
      <c r="C20" s="11" t="s">
        <v>833</v>
      </c>
      <c r="D20" s="11" t="s">
        <v>816</v>
      </c>
      <c r="E20" s="11" t="s">
        <v>817</v>
      </c>
      <c r="F20" s="11" t="s">
        <v>75</v>
      </c>
    </row>
    <row r="21" spans="2:6" ht="21.95" customHeight="1" x14ac:dyDescent="0.25">
      <c r="B21" s="12" t="s">
        <v>803</v>
      </c>
      <c r="C21" s="13" t="s">
        <v>804</v>
      </c>
      <c r="D21" s="13" t="s">
        <v>814</v>
      </c>
      <c r="E21" s="13" t="s">
        <v>814</v>
      </c>
      <c r="F21" s="13" t="s">
        <v>834</v>
      </c>
    </row>
    <row r="22" spans="2:6" ht="21.95" customHeight="1" x14ac:dyDescent="0.25">
      <c r="B22" s="10" t="s">
        <v>835</v>
      </c>
      <c r="C22" s="11" t="s">
        <v>836</v>
      </c>
      <c r="D22" s="11" t="s">
        <v>814</v>
      </c>
      <c r="E22" s="11" t="s">
        <v>814</v>
      </c>
      <c r="F22" s="11" t="s">
        <v>837</v>
      </c>
    </row>
  </sheetData>
  <mergeCells count="2">
    <mergeCell ref="B10:G10"/>
    <mergeCell ref="B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B8BB-2481-4B0F-BE41-CE94C64BABE6}">
  <dimension ref="A1:M23"/>
  <sheetViews>
    <sheetView zoomScale="130" zoomScaleNormal="130" workbookViewId="0">
      <selection activeCell="G19" sqref="G19"/>
    </sheetView>
  </sheetViews>
  <sheetFormatPr defaultRowHeight="15" x14ac:dyDescent="0.25"/>
  <sheetData>
    <row r="1" spans="1:13" s="22" customFormat="1" x14ac:dyDescent="0.25">
      <c r="A1" s="22" t="s">
        <v>838</v>
      </c>
      <c r="B1" s="22" t="s">
        <v>52</v>
      </c>
      <c r="C1" s="22" t="s">
        <v>839</v>
      </c>
      <c r="D1" s="22" t="s">
        <v>840</v>
      </c>
      <c r="E1" s="22" t="s">
        <v>643</v>
      </c>
      <c r="F1" s="22" t="s">
        <v>841</v>
      </c>
      <c r="G1" s="22" t="s">
        <v>649</v>
      </c>
      <c r="H1" s="22" t="s">
        <v>59</v>
      </c>
      <c r="I1" s="22" t="s">
        <v>646</v>
      </c>
      <c r="J1" s="22" t="s">
        <v>842</v>
      </c>
      <c r="K1" s="22" t="s">
        <v>843</v>
      </c>
      <c r="L1" s="22" t="s">
        <v>844</v>
      </c>
      <c r="M1" s="22" t="s">
        <v>845</v>
      </c>
    </row>
    <row r="2" spans="1:13" x14ac:dyDescent="0.25">
      <c r="A2">
        <v>310</v>
      </c>
      <c r="B2" t="s">
        <v>56</v>
      </c>
      <c r="C2" t="s">
        <v>846</v>
      </c>
      <c r="D2">
        <v>1</v>
      </c>
      <c r="E2">
        <v>25000</v>
      </c>
      <c r="F2" t="s">
        <v>846</v>
      </c>
      <c r="G2">
        <v>480</v>
      </c>
      <c r="H2" t="s">
        <v>847</v>
      </c>
      <c r="I2" t="s">
        <v>846</v>
      </c>
      <c r="J2" t="s">
        <v>846</v>
      </c>
      <c r="K2" t="s">
        <v>846</v>
      </c>
      <c r="L2" t="s">
        <v>846</v>
      </c>
      <c r="M2" t="s">
        <v>848</v>
      </c>
    </row>
    <row r="3" spans="1:13" x14ac:dyDescent="0.25">
      <c r="A3">
        <v>311</v>
      </c>
      <c r="B3" t="s">
        <v>56</v>
      </c>
      <c r="C3" t="s">
        <v>846</v>
      </c>
      <c r="D3">
        <v>25001</v>
      </c>
      <c r="E3">
        <v>30000</v>
      </c>
      <c r="F3" t="s">
        <v>846</v>
      </c>
      <c r="G3">
        <v>552</v>
      </c>
      <c r="H3" t="s">
        <v>847</v>
      </c>
      <c r="I3" t="s">
        <v>846</v>
      </c>
      <c r="J3" t="s">
        <v>846</v>
      </c>
      <c r="K3" t="s">
        <v>846</v>
      </c>
      <c r="L3" t="s">
        <v>846</v>
      </c>
      <c r="M3" t="s">
        <v>849</v>
      </c>
    </row>
    <row r="4" spans="1:13" x14ac:dyDescent="0.25">
      <c r="A4">
        <v>312</v>
      </c>
      <c r="B4" t="s">
        <v>56</v>
      </c>
      <c r="C4" t="s">
        <v>846</v>
      </c>
      <c r="D4">
        <v>30001</v>
      </c>
      <c r="E4">
        <v>35000</v>
      </c>
      <c r="F4" t="s">
        <v>846</v>
      </c>
      <c r="G4">
        <v>613</v>
      </c>
      <c r="H4" t="s">
        <v>847</v>
      </c>
      <c r="I4" t="s">
        <v>846</v>
      </c>
      <c r="J4" t="s">
        <v>846</v>
      </c>
      <c r="K4" t="s">
        <v>846</v>
      </c>
      <c r="L4" t="s">
        <v>846</v>
      </c>
      <c r="M4" t="s">
        <v>850</v>
      </c>
    </row>
    <row r="5" spans="1:13" x14ac:dyDescent="0.25">
      <c r="A5">
        <v>313</v>
      </c>
      <c r="B5" t="s">
        <v>56</v>
      </c>
      <c r="C5" t="s">
        <v>846</v>
      </c>
      <c r="D5">
        <v>35001</v>
      </c>
      <c r="E5">
        <v>40000</v>
      </c>
      <c r="F5" t="s">
        <v>846</v>
      </c>
      <c r="G5">
        <v>664</v>
      </c>
      <c r="H5" t="s">
        <v>847</v>
      </c>
      <c r="I5" t="s">
        <v>846</v>
      </c>
      <c r="J5" t="s">
        <v>846</v>
      </c>
      <c r="K5" t="s">
        <v>846</v>
      </c>
      <c r="L5" t="s">
        <v>846</v>
      </c>
      <c r="M5" t="s">
        <v>851</v>
      </c>
    </row>
    <row r="6" spans="1:13" x14ac:dyDescent="0.25">
      <c r="A6">
        <v>314</v>
      </c>
      <c r="B6" t="s">
        <v>56</v>
      </c>
      <c r="C6" t="s">
        <v>846</v>
      </c>
      <c r="D6">
        <v>40001</v>
      </c>
      <c r="E6">
        <v>45000</v>
      </c>
      <c r="F6" t="s">
        <v>846</v>
      </c>
      <c r="G6">
        <v>704</v>
      </c>
      <c r="H6" t="s">
        <v>847</v>
      </c>
      <c r="I6" t="s">
        <v>846</v>
      </c>
      <c r="J6" t="s">
        <v>846</v>
      </c>
      <c r="K6" t="s">
        <v>846</v>
      </c>
      <c r="L6" t="s">
        <v>846</v>
      </c>
      <c r="M6" t="s">
        <v>852</v>
      </c>
    </row>
    <row r="7" spans="1:13" x14ac:dyDescent="0.25">
      <c r="A7">
        <v>315</v>
      </c>
      <c r="B7" t="s">
        <v>56</v>
      </c>
      <c r="C7" t="s">
        <v>846</v>
      </c>
      <c r="D7">
        <v>45001</v>
      </c>
      <c r="E7">
        <v>50000</v>
      </c>
      <c r="F7" t="s">
        <v>846</v>
      </c>
      <c r="G7">
        <v>787</v>
      </c>
      <c r="H7" t="s">
        <v>847</v>
      </c>
      <c r="I7" t="s">
        <v>846</v>
      </c>
      <c r="J7" t="s">
        <v>846</v>
      </c>
      <c r="K7" t="s">
        <v>846</v>
      </c>
      <c r="L7" t="s">
        <v>846</v>
      </c>
      <c r="M7" t="s">
        <v>853</v>
      </c>
    </row>
    <row r="8" spans="1:13" x14ac:dyDescent="0.25">
      <c r="A8">
        <v>316</v>
      </c>
      <c r="B8" t="s">
        <v>56</v>
      </c>
      <c r="C8" t="s">
        <v>846</v>
      </c>
      <c r="D8">
        <v>50001</v>
      </c>
      <c r="E8">
        <v>55000</v>
      </c>
      <c r="F8" t="s">
        <v>846</v>
      </c>
      <c r="G8">
        <v>869</v>
      </c>
      <c r="H8" t="s">
        <v>847</v>
      </c>
      <c r="I8" t="s">
        <v>846</v>
      </c>
      <c r="J8" t="s">
        <v>846</v>
      </c>
      <c r="K8" t="s">
        <v>846</v>
      </c>
      <c r="L8" t="s">
        <v>846</v>
      </c>
      <c r="M8" t="s">
        <v>854</v>
      </c>
    </row>
    <row r="9" spans="1:13" x14ac:dyDescent="0.25">
      <c r="A9">
        <v>317</v>
      </c>
      <c r="B9" t="s">
        <v>56</v>
      </c>
      <c r="C9" t="s">
        <v>846</v>
      </c>
      <c r="D9">
        <v>55001</v>
      </c>
      <c r="E9">
        <v>60000</v>
      </c>
      <c r="F9" t="s">
        <v>846</v>
      </c>
      <c r="G9">
        <v>952</v>
      </c>
      <c r="H9" t="s">
        <v>847</v>
      </c>
      <c r="I9" t="s">
        <v>846</v>
      </c>
      <c r="J9" t="s">
        <v>846</v>
      </c>
      <c r="K9" t="s">
        <v>846</v>
      </c>
      <c r="L9" t="s">
        <v>846</v>
      </c>
      <c r="M9" t="s">
        <v>855</v>
      </c>
    </row>
    <row r="10" spans="1:13" x14ac:dyDescent="0.25">
      <c r="A10">
        <v>318</v>
      </c>
      <c r="B10" t="s">
        <v>56</v>
      </c>
      <c r="C10" t="s">
        <v>846</v>
      </c>
      <c r="D10">
        <v>60001</v>
      </c>
      <c r="E10">
        <v>65000</v>
      </c>
      <c r="F10" t="s">
        <v>846</v>
      </c>
      <c r="G10">
        <v>1034</v>
      </c>
      <c r="H10" t="s">
        <v>847</v>
      </c>
      <c r="I10" t="s">
        <v>846</v>
      </c>
      <c r="J10" t="s">
        <v>846</v>
      </c>
      <c r="K10" t="s">
        <v>846</v>
      </c>
      <c r="L10" t="s">
        <v>846</v>
      </c>
      <c r="M10" t="s">
        <v>856</v>
      </c>
    </row>
    <row r="11" spans="1:13" x14ac:dyDescent="0.25">
      <c r="A11">
        <v>319</v>
      </c>
      <c r="B11" t="s">
        <v>56</v>
      </c>
      <c r="C11" t="s">
        <v>846</v>
      </c>
      <c r="D11">
        <v>65001</v>
      </c>
      <c r="E11">
        <v>70000</v>
      </c>
      <c r="F11" t="s">
        <v>846</v>
      </c>
      <c r="G11">
        <v>1117</v>
      </c>
      <c r="H11" t="s">
        <v>847</v>
      </c>
      <c r="I11" t="s">
        <v>846</v>
      </c>
      <c r="J11" t="s">
        <v>846</v>
      </c>
      <c r="K11" t="s">
        <v>846</v>
      </c>
      <c r="L11" t="s">
        <v>846</v>
      </c>
      <c r="M11" t="s">
        <v>857</v>
      </c>
    </row>
    <row r="12" spans="1:13" x14ac:dyDescent="0.25">
      <c r="A12">
        <v>320</v>
      </c>
      <c r="B12" t="s">
        <v>56</v>
      </c>
      <c r="C12" t="s">
        <v>846</v>
      </c>
      <c r="D12">
        <v>70001</v>
      </c>
      <c r="E12">
        <v>75000</v>
      </c>
      <c r="F12" t="s">
        <v>846</v>
      </c>
      <c r="G12">
        <v>1199</v>
      </c>
      <c r="H12" t="s">
        <v>847</v>
      </c>
      <c r="I12" t="s">
        <v>846</v>
      </c>
      <c r="J12" t="s">
        <v>846</v>
      </c>
      <c r="K12" t="s">
        <v>846</v>
      </c>
      <c r="L12" t="s">
        <v>846</v>
      </c>
      <c r="M12" t="s">
        <v>858</v>
      </c>
    </row>
    <row r="13" spans="1:13" x14ac:dyDescent="0.25">
      <c r="A13">
        <v>321</v>
      </c>
      <c r="B13" t="s">
        <v>56</v>
      </c>
      <c r="C13" t="s">
        <v>846</v>
      </c>
      <c r="D13">
        <v>75001</v>
      </c>
      <c r="E13">
        <v>80000</v>
      </c>
      <c r="F13" t="s">
        <v>846</v>
      </c>
      <c r="G13">
        <v>1282</v>
      </c>
      <c r="H13" t="s">
        <v>847</v>
      </c>
      <c r="I13" t="s">
        <v>846</v>
      </c>
      <c r="J13" t="s">
        <v>846</v>
      </c>
      <c r="K13" t="s">
        <v>846</v>
      </c>
      <c r="L13" t="s">
        <v>846</v>
      </c>
      <c r="M13" t="s">
        <v>859</v>
      </c>
    </row>
    <row r="14" spans="1:13" x14ac:dyDescent="0.25">
      <c r="A14">
        <v>322</v>
      </c>
      <c r="B14" t="s">
        <v>56</v>
      </c>
      <c r="C14" t="s">
        <v>846</v>
      </c>
      <c r="D14">
        <v>80001</v>
      </c>
      <c r="E14">
        <v>85000</v>
      </c>
      <c r="F14" t="s">
        <v>846</v>
      </c>
      <c r="G14">
        <v>1364</v>
      </c>
      <c r="H14" t="s">
        <v>847</v>
      </c>
      <c r="I14" t="s">
        <v>846</v>
      </c>
      <c r="J14" t="s">
        <v>846</v>
      </c>
      <c r="K14" t="s">
        <v>846</v>
      </c>
      <c r="L14" t="s">
        <v>846</v>
      </c>
      <c r="M14" t="s">
        <v>860</v>
      </c>
    </row>
    <row r="15" spans="1:13" x14ac:dyDescent="0.25">
      <c r="A15">
        <v>323</v>
      </c>
      <c r="B15" t="s">
        <v>56</v>
      </c>
      <c r="C15" t="s">
        <v>846</v>
      </c>
      <c r="D15">
        <v>85001</v>
      </c>
      <c r="E15">
        <v>90000</v>
      </c>
      <c r="F15" t="s">
        <v>846</v>
      </c>
      <c r="G15">
        <v>1447</v>
      </c>
      <c r="H15" t="s">
        <v>847</v>
      </c>
      <c r="I15" t="s">
        <v>846</v>
      </c>
      <c r="J15" t="s">
        <v>846</v>
      </c>
      <c r="K15" t="s">
        <v>846</v>
      </c>
      <c r="L15" t="s">
        <v>846</v>
      </c>
      <c r="M15" t="s">
        <v>861</v>
      </c>
    </row>
    <row r="16" spans="1:13" x14ac:dyDescent="0.25">
      <c r="A16">
        <v>324</v>
      </c>
      <c r="B16" t="s">
        <v>56</v>
      </c>
      <c r="C16" t="s">
        <v>846</v>
      </c>
      <c r="D16">
        <v>90001</v>
      </c>
      <c r="E16">
        <v>95000</v>
      </c>
      <c r="F16" t="s">
        <v>846</v>
      </c>
      <c r="G16">
        <v>1529</v>
      </c>
      <c r="H16" t="s">
        <v>847</v>
      </c>
      <c r="I16" t="s">
        <v>846</v>
      </c>
      <c r="J16" t="s">
        <v>846</v>
      </c>
      <c r="K16" t="s">
        <v>846</v>
      </c>
      <c r="L16" t="s">
        <v>846</v>
      </c>
      <c r="M16" t="s">
        <v>862</v>
      </c>
    </row>
    <row r="17" spans="1:13" x14ac:dyDescent="0.25">
      <c r="A17">
        <v>325</v>
      </c>
      <c r="B17" t="s">
        <v>56</v>
      </c>
      <c r="C17" t="s">
        <v>846</v>
      </c>
      <c r="D17">
        <v>95001</v>
      </c>
      <c r="E17">
        <v>100000</v>
      </c>
      <c r="F17" t="s">
        <v>846</v>
      </c>
      <c r="G17">
        <v>1612</v>
      </c>
      <c r="H17" t="s">
        <v>847</v>
      </c>
      <c r="I17" t="s">
        <v>846</v>
      </c>
      <c r="J17" t="s">
        <v>846</v>
      </c>
      <c r="K17" t="s">
        <v>846</v>
      </c>
      <c r="L17" t="s">
        <v>846</v>
      </c>
      <c r="M17" t="s">
        <v>863</v>
      </c>
    </row>
    <row r="18" spans="1:13" x14ac:dyDescent="0.25">
      <c r="A18">
        <v>326</v>
      </c>
      <c r="B18" t="s">
        <v>56</v>
      </c>
      <c r="C18" t="s">
        <v>846</v>
      </c>
      <c r="D18">
        <v>100001</v>
      </c>
      <c r="E18">
        <v>105000</v>
      </c>
      <c r="F18" t="s">
        <v>846</v>
      </c>
      <c r="G18">
        <v>1694</v>
      </c>
      <c r="H18" t="s">
        <v>847</v>
      </c>
      <c r="I18" t="s">
        <v>846</v>
      </c>
      <c r="J18" t="s">
        <v>846</v>
      </c>
      <c r="K18" t="s">
        <v>846</v>
      </c>
      <c r="L18" t="s">
        <v>846</v>
      </c>
      <c r="M18" t="s">
        <v>864</v>
      </c>
    </row>
    <row r="19" spans="1:13" x14ac:dyDescent="0.25">
      <c r="A19">
        <v>327</v>
      </c>
      <c r="B19" t="s">
        <v>56</v>
      </c>
      <c r="C19" t="s">
        <v>846</v>
      </c>
      <c r="D19">
        <v>105001</v>
      </c>
      <c r="E19">
        <v>110000</v>
      </c>
      <c r="F19" t="s">
        <v>846</v>
      </c>
      <c r="G19">
        <v>1777</v>
      </c>
      <c r="H19" t="s">
        <v>847</v>
      </c>
      <c r="I19" t="s">
        <v>846</v>
      </c>
      <c r="J19" t="s">
        <v>846</v>
      </c>
      <c r="K19" t="s">
        <v>846</v>
      </c>
      <c r="L19" t="s">
        <v>846</v>
      </c>
      <c r="M19" t="s">
        <v>865</v>
      </c>
    </row>
    <row r="20" spans="1:13" x14ac:dyDescent="0.25">
      <c r="A20">
        <v>328</v>
      </c>
      <c r="B20" t="s">
        <v>56</v>
      </c>
      <c r="C20" t="s">
        <v>846</v>
      </c>
      <c r="D20">
        <v>110001</v>
      </c>
      <c r="E20">
        <v>115000</v>
      </c>
      <c r="F20" t="s">
        <v>846</v>
      </c>
      <c r="G20">
        <v>1859</v>
      </c>
      <c r="H20" t="s">
        <v>847</v>
      </c>
      <c r="I20" t="s">
        <v>846</v>
      </c>
      <c r="J20" t="s">
        <v>846</v>
      </c>
      <c r="K20" t="s">
        <v>846</v>
      </c>
      <c r="L20" t="s">
        <v>846</v>
      </c>
      <c r="M20" t="s">
        <v>866</v>
      </c>
    </row>
    <row r="21" spans="1:13" x14ac:dyDescent="0.25">
      <c r="A21">
        <v>329</v>
      </c>
      <c r="B21" t="s">
        <v>56</v>
      </c>
      <c r="C21" t="s">
        <v>846</v>
      </c>
      <c r="D21">
        <v>115001</v>
      </c>
      <c r="E21">
        <v>120000</v>
      </c>
      <c r="F21" t="s">
        <v>846</v>
      </c>
      <c r="G21">
        <v>1942</v>
      </c>
      <c r="H21" t="s">
        <v>847</v>
      </c>
      <c r="I21" t="s">
        <v>846</v>
      </c>
      <c r="J21" t="s">
        <v>846</v>
      </c>
      <c r="K21" t="s">
        <v>846</v>
      </c>
      <c r="L21" t="s">
        <v>846</v>
      </c>
      <c r="M21" t="s">
        <v>867</v>
      </c>
    </row>
    <row r="22" spans="1:13" x14ac:dyDescent="0.25">
      <c r="A22">
        <v>330</v>
      </c>
      <c r="B22" t="s">
        <v>56</v>
      </c>
      <c r="C22" t="s">
        <v>846</v>
      </c>
      <c r="D22">
        <v>120001</v>
      </c>
      <c r="E22">
        <v>1000000</v>
      </c>
      <c r="F22" t="s">
        <v>846</v>
      </c>
      <c r="G22">
        <v>2024</v>
      </c>
      <c r="H22" t="s">
        <v>847</v>
      </c>
      <c r="I22" t="s">
        <v>846</v>
      </c>
      <c r="J22" t="s">
        <v>846</v>
      </c>
      <c r="K22" t="s">
        <v>846</v>
      </c>
      <c r="L22" t="s">
        <v>846</v>
      </c>
      <c r="M22" t="s">
        <v>868</v>
      </c>
    </row>
    <row r="23" spans="1:13" x14ac:dyDescent="0.25">
      <c r="A23">
        <v>331</v>
      </c>
      <c r="B23" t="s">
        <v>56</v>
      </c>
      <c r="C23">
        <v>22</v>
      </c>
      <c r="D23">
        <v>0</v>
      </c>
      <c r="E23">
        <v>0</v>
      </c>
      <c r="F23">
        <v>0</v>
      </c>
      <c r="G23">
        <v>277.27</v>
      </c>
      <c r="H23" t="s">
        <v>847</v>
      </c>
      <c r="I23" t="s">
        <v>803</v>
      </c>
      <c r="J23" t="s">
        <v>846</v>
      </c>
      <c r="K23" t="s">
        <v>846</v>
      </c>
      <c r="L23" t="s">
        <v>846</v>
      </c>
      <c r="M23" t="s">
        <v>869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60F8-70AD-4E7C-9246-4D94CAFCA5B0}">
  <dimension ref="A1:N5"/>
  <sheetViews>
    <sheetView workbookViewId="0">
      <selection activeCell="A6" sqref="A6:XFD6"/>
    </sheetView>
  </sheetViews>
  <sheetFormatPr defaultRowHeight="15" x14ac:dyDescent="0.25"/>
  <sheetData>
    <row r="1" spans="1:14" x14ac:dyDescent="0.25">
      <c r="A1" t="s">
        <v>657</v>
      </c>
      <c r="B1" t="s">
        <v>52</v>
      </c>
      <c r="C1" t="s">
        <v>870</v>
      </c>
      <c r="D1" t="s">
        <v>871</v>
      </c>
      <c r="E1" t="s">
        <v>872</v>
      </c>
      <c r="F1" t="s">
        <v>873</v>
      </c>
      <c r="G1" t="s">
        <v>874</v>
      </c>
      <c r="H1" t="s">
        <v>875</v>
      </c>
      <c r="I1" t="s">
        <v>876</v>
      </c>
      <c r="J1" t="s">
        <v>877</v>
      </c>
      <c r="K1" t="s">
        <v>878</v>
      </c>
      <c r="L1" t="s">
        <v>879</v>
      </c>
      <c r="M1" t="s">
        <v>880</v>
      </c>
      <c r="N1" t="s">
        <v>845</v>
      </c>
    </row>
    <row r="2" spans="1:14" x14ac:dyDescent="0.25">
      <c r="A2" t="s">
        <v>68</v>
      </c>
      <c r="B2" t="s">
        <v>56</v>
      </c>
      <c r="C2" t="s">
        <v>881</v>
      </c>
      <c r="D2">
        <v>80</v>
      </c>
      <c r="E2">
        <v>0</v>
      </c>
      <c r="F2">
        <v>0</v>
      </c>
      <c r="G2" t="s">
        <v>252</v>
      </c>
      <c r="H2">
        <v>0.08</v>
      </c>
      <c r="I2">
        <v>600</v>
      </c>
      <c r="J2">
        <v>3</v>
      </c>
      <c r="K2" t="s">
        <v>846</v>
      </c>
      <c r="L2">
        <v>0</v>
      </c>
      <c r="M2">
        <v>0</v>
      </c>
      <c r="N2" t="s">
        <v>882</v>
      </c>
    </row>
    <row r="3" spans="1:14" x14ac:dyDescent="0.25">
      <c r="A3" t="s">
        <v>782</v>
      </c>
      <c r="B3" t="s">
        <v>56</v>
      </c>
      <c r="C3" t="s">
        <v>883</v>
      </c>
      <c r="D3">
        <v>80</v>
      </c>
      <c r="E3">
        <v>0</v>
      </c>
      <c r="F3">
        <v>0</v>
      </c>
      <c r="G3" t="s">
        <v>252</v>
      </c>
      <c r="H3">
        <v>0.08</v>
      </c>
      <c r="I3">
        <v>600</v>
      </c>
      <c r="J3">
        <v>3</v>
      </c>
      <c r="K3" t="s">
        <v>846</v>
      </c>
      <c r="L3">
        <v>0</v>
      </c>
      <c r="M3">
        <v>0.05</v>
      </c>
      <c r="N3" t="s">
        <v>884</v>
      </c>
    </row>
    <row r="4" spans="1:14" x14ac:dyDescent="0.25">
      <c r="A4" t="s">
        <v>792</v>
      </c>
      <c r="B4" t="s">
        <v>56</v>
      </c>
      <c r="C4" t="s">
        <v>796</v>
      </c>
      <c r="D4">
        <v>60</v>
      </c>
      <c r="E4">
        <v>0</v>
      </c>
      <c r="F4">
        <v>0</v>
      </c>
      <c r="G4" t="s">
        <v>252</v>
      </c>
      <c r="H4">
        <v>0</v>
      </c>
      <c r="I4">
        <v>150</v>
      </c>
      <c r="J4">
        <v>1</v>
      </c>
      <c r="K4" t="s">
        <v>846</v>
      </c>
      <c r="L4">
        <v>0</v>
      </c>
      <c r="M4">
        <v>0</v>
      </c>
      <c r="N4" t="s">
        <v>885</v>
      </c>
    </row>
    <row r="5" spans="1:14" x14ac:dyDescent="0.25">
      <c r="A5" t="s">
        <v>787</v>
      </c>
      <c r="B5" t="s">
        <v>56</v>
      </c>
      <c r="C5" t="s">
        <v>886</v>
      </c>
      <c r="D5">
        <v>60</v>
      </c>
      <c r="E5">
        <v>0</v>
      </c>
      <c r="F5">
        <v>0</v>
      </c>
      <c r="G5" t="s">
        <v>252</v>
      </c>
      <c r="H5">
        <v>0.03</v>
      </c>
      <c r="I5">
        <v>500</v>
      </c>
      <c r="J5">
        <v>2</v>
      </c>
      <c r="K5" t="s">
        <v>846</v>
      </c>
      <c r="L5">
        <v>0</v>
      </c>
      <c r="M5">
        <v>0</v>
      </c>
      <c r="N5" t="s">
        <v>887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FB10-7981-4B0C-9E9F-87FEE684C252}">
  <dimension ref="A1:Z38"/>
  <sheetViews>
    <sheetView tabSelected="1" workbookViewId="0">
      <selection activeCell="E12" sqref="E12"/>
    </sheetView>
  </sheetViews>
  <sheetFormatPr defaultRowHeight="15" x14ac:dyDescent="0.25"/>
  <sheetData>
    <row r="1" spans="1:26" s="22" customFormat="1" x14ac:dyDescent="0.25">
      <c r="A1" s="22" t="s">
        <v>839</v>
      </c>
      <c r="B1" s="22" t="s">
        <v>709</v>
      </c>
      <c r="C1" s="22" t="s">
        <v>565</v>
      </c>
      <c r="D1" s="22" t="s">
        <v>888</v>
      </c>
      <c r="E1" s="22" t="s">
        <v>889</v>
      </c>
      <c r="F1" s="22" t="s">
        <v>890</v>
      </c>
      <c r="G1" s="22" t="s">
        <v>891</v>
      </c>
      <c r="H1" s="22" t="s">
        <v>892</v>
      </c>
      <c r="I1" s="22" t="s">
        <v>893</v>
      </c>
      <c r="J1" s="22" t="s">
        <v>191</v>
      </c>
      <c r="K1" s="22" t="s">
        <v>162</v>
      </c>
      <c r="L1" s="22" t="s">
        <v>166</v>
      </c>
      <c r="M1" s="22" t="s">
        <v>894</v>
      </c>
      <c r="N1" s="22" t="s">
        <v>895</v>
      </c>
      <c r="O1" s="22" t="s">
        <v>896</v>
      </c>
      <c r="P1" s="22" t="s">
        <v>897</v>
      </c>
      <c r="Q1" s="22" t="s">
        <v>898</v>
      </c>
      <c r="R1" s="22" t="s">
        <v>899</v>
      </c>
      <c r="S1" s="22" t="s">
        <v>65</v>
      </c>
      <c r="T1" s="22" t="s">
        <v>52</v>
      </c>
      <c r="U1" s="22" t="s">
        <v>838</v>
      </c>
      <c r="V1" s="22" t="s">
        <v>900</v>
      </c>
      <c r="W1" s="22" t="s">
        <v>901</v>
      </c>
      <c r="X1" s="22" t="s">
        <v>902</v>
      </c>
      <c r="Y1" s="22" t="s">
        <v>903</v>
      </c>
      <c r="Z1" s="22" t="s">
        <v>845</v>
      </c>
    </row>
    <row r="2" spans="1:26" x14ac:dyDescent="0.25">
      <c r="A2" t="s">
        <v>819</v>
      </c>
      <c r="B2">
        <v>67</v>
      </c>
      <c r="C2">
        <v>500</v>
      </c>
      <c r="D2">
        <v>50</v>
      </c>
      <c r="E2">
        <v>0</v>
      </c>
      <c r="F2">
        <v>25</v>
      </c>
      <c r="G2">
        <v>0</v>
      </c>
      <c r="H2">
        <v>50</v>
      </c>
      <c r="I2">
        <v>0</v>
      </c>
      <c r="J2">
        <v>20</v>
      </c>
      <c r="K2">
        <v>0</v>
      </c>
      <c r="L2">
        <v>10</v>
      </c>
      <c r="M2">
        <v>10</v>
      </c>
      <c r="N2">
        <v>35</v>
      </c>
      <c r="O2">
        <v>0</v>
      </c>
      <c r="P2">
        <v>33.299999999999997</v>
      </c>
      <c r="Q2">
        <v>0</v>
      </c>
      <c r="R2">
        <v>0</v>
      </c>
      <c r="S2" t="s">
        <v>68</v>
      </c>
      <c r="T2" t="s">
        <v>56</v>
      </c>
      <c r="U2">
        <v>98</v>
      </c>
      <c r="V2" t="s">
        <v>846</v>
      </c>
      <c r="W2" t="s">
        <v>846</v>
      </c>
      <c r="X2" t="s">
        <v>846</v>
      </c>
      <c r="Y2" t="s">
        <v>846</v>
      </c>
      <c r="Z2" t="s">
        <v>904</v>
      </c>
    </row>
    <row r="3" spans="1:26" x14ac:dyDescent="0.25">
      <c r="A3" t="s">
        <v>819</v>
      </c>
      <c r="B3">
        <v>0</v>
      </c>
      <c r="C3">
        <v>350</v>
      </c>
      <c r="D3">
        <v>50</v>
      </c>
      <c r="E3">
        <v>0</v>
      </c>
      <c r="F3">
        <v>25</v>
      </c>
      <c r="G3">
        <v>0</v>
      </c>
      <c r="H3">
        <v>0</v>
      </c>
      <c r="I3">
        <v>0</v>
      </c>
      <c r="J3">
        <v>20</v>
      </c>
      <c r="K3">
        <v>0</v>
      </c>
      <c r="L3">
        <v>10</v>
      </c>
      <c r="M3">
        <v>10</v>
      </c>
      <c r="N3">
        <v>35</v>
      </c>
      <c r="O3">
        <v>0</v>
      </c>
      <c r="P3">
        <v>33.299999999999997</v>
      </c>
      <c r="Q3">
        <v>0</v>
      </c>
      <c r="R3">
        <v>0</v>
      </c>
      <c r="S3" t="s">
        <v>792</v>
      </c>
      <c r="T3" t="s">
        <v>56</v>
      </c>
      <c r="U3">
        <v>99</v>
      </c>
      <c r="V3" t="s">
        <v>846</v>
      </c>
      <c r="W3" t="s">
        <v>846</v>
      </c>
      <c r="X3" t="s">
        <v>846</v>
      </c>
      <c r="Y3" t="s">
        <v>846</v>
      </c>
      <c r="Z3" t="s">
        <v>905</v>
      </c>
    </row>
    <row r="4" spans="1:26" x14ac:dyDescent="0.25">
      <c r="A4" t="s">
        <v>906</v>
      </c>
      <c r="B4">
        <v>67</v>
      </c>
      <c r="C4">
        <v>350</v>
      </c>
      <c r="D4">
        <v>50</v>
      </c>
      <c r="E4">
        <v>0</v>
      </c>
      <c r="F4">
        <v>25</v>
      </c>
      <c r="G4">
        <v>0</v>
      </c>
      <c r="H4">
        <v>50</v>
      </c>
      <c r="I4">
        <v>0</v>
      </c>
      <c r="J4">
        <v>8.75</v>
      </c>
      <c r="K4">
        <v>0</v>
      </c>
      <c r="L4">
        <v>10</v>
      </c>
      <c r="M4">
        <v>10</v>
      </c>
      <c r="N4">
        <v>35</v>
      </c>
      <c r="O4">
        <v>0</v>
      </c>
      <c r="P4">
        <v>33.299999999999997</v>
      </c>
      <c r="Q4">
        <v>16</v>
      </c>
      <c r="R4">
        <v>165</v>
      </c>
      <c r="S4" t="s">
        <v>68</v>
      </c>
      <c r="T4" t="s">
        <v>56</v>
      </c>
      <c r="U4">
        <v>100</v>
      </c>
      <c r="V4" t="s">
        <v>846</v>
      </c>
      <c r="W4" t="s">
        <v>846</v>
      </c>
      <c r="X4" t="s">
        <v>846</v>
      </c>
      <c r="Y4" t="s">
        <v>846</v>
      </c>
      <c r="Z4" t="s">
        <v>907</v>
      </c>
    </row>
    <row r="5" spans="1:26" x14ac:dyDescent="0.25">
      <c r="A5" t="s">
        <v>906</v>
      </c>
      <c r="B5">
        <v>0</v>
      </c>
      <c r="C5">
        <v>350</v>
      </c>
      <c r="D5">
        <v>50</v>
      </c>
      <c r="E5">
        <v>0</v>
      </c>
      <c r="F5">
        <v>25</v>
      </c>
      <c r="G5">
        <v>0</v>
      </c>
      <c r="H5">
        <v>0</v>
      </c>
      <c r="I5">
        <v>0</v>
      </c>
      <c r="J5">
        <v>8.75</v>
      </c>
      <c r="K5">
        <v>0</v>
      </c>
      <c r="L5">
        <v>10</v>
      </c>
      <c r="M5">
        <v>10</v>
      </c>
      <c r="N5">
        <v>35</v>
      </c>
      <c r="O5">
        <v>0</v>
      </c>
      <c r="P5">
        <v>33.299999999999997</v>
      </c>
      <c r="Q5">
        <v>0</v>
      </c>
      <c r="R5">
        <v>425</v>
      </c>
      <c r="S5" t="s">
        <v>792</v>
      </c>
      <c r="T5" t="s">
        <v>56</v>
      </c>
      <c r="U5">
        <v>101</v>
      </c>
      <c r="V5" t="s">
        <v>846</v>
      </c>
      <c r="W5" t="s">
        <v>846</v>
      </c>
      <c r="X5" t="s">
        <v>846</v>
      </c>
      <c r="Y5" t="s">
        <v>846</v>
      </c>
      <c r="Z5" t="s">
        <v>908</v>
      </c>
    </row>
    <row r="6" spans="1:26" x14ac:dyDescent="0.25">
      <c r="A6" t="s">
        <v>803</v>
      </c>
      <c r="B6">
        <v>56</v>
      </c>
      <c r="C6">
        <v>1000</v>
      </c>
      <c r="D6">
        <v>50</v>
      </c>
      <c r="E6">
        <v>0</v>
      </c>
      <c r="F6">
        <v>25</v>
      </c>
      <c r="G6">
        <v>0</v>
      </c>
      <c r="H6">
        <v>50</v>
      </c>
      <c r="I6">
        <v>0</v>
      </c>
      <c r="J6">
        <v>0</v>
      </c>
      <c r="K6">
        <v>0</v>
      </c>
      <c r="L6">
        <v>10</v>
      </c>
      <c r="M6">
        <v>10</v>
      </c>
      <c r="N6">
        <v>35</v>
      </c>
      <c r="O6">
        <v>0</v>
      </c>
      <c r="P6">
        <v>33.299999999999997</v>
      </c>
      <c r="Q6">
        <v>0</v>
      </c>
      <c r="R6">
        <v>0</v>
      </c>
      <c r="S6" t="s">
        <v>68</v>
      </c>
      <c r="T6" t="s">
        <v>56</v>
      </c>
      <c r="U6">
        <v>102</v>
      </c>
      <c r="V6" t="s">
        <v>846</v>
      </c>
      <c r="W6" t="s">
        <v>846</v>
      </c>
      <c r="X6" t="s">
        <v>846</v>
      </c>
      <c r="Y6" t="s">
        <v>846</v>
      </c>
      <c r="Z6" t="s">
        <v>909</v>
      </c>
    </row>
    <row r="7" spans="1:26" x14ac:dyDescent="0.25">
      <c r="A7" t="s">
        <v>910</v>
      </c>
      <c r="B7">
        <v>0</v>
      </c>
      <c r="C7">
        <v>250</v>
      </c>
      <c r="D7">
        <v>50</v>
      </c>
      <c r="E7">
        <v>0</v>
      </c>
      <c r="F7">
        <v>25</v>
      </c>
      <c r="G7">
        <v>0</v>
      </c>
      <c r="H7">
        <v>0</v>
      </c>
      <c r="I7">
        <v>0</v>
      </c>
      <c r="J7">
        <v>8.75</v>
      </c>
      <c r="K7">
        <v>0</v>
      </c>
      <c r="L7">
        <v>10</v>
      </c>
      <c r="M7">
        <v>10</v>
      </c>
      <c r="N7">
        <v>35</v>
      </c>
      <c r="O7">
        <v>0</v>
      </c>
      <c r="P7">
        <v>33.299999999999997</v>
      </c>
      <c r="Q7">
        <v>0</v>
      </c>
      <c r="R7">
        <v>0</v>
      </c>
      <c r="S7" t="s">
        <v>792</v>
      </c>
      <c r="T7" t="s">
        <v>56</v>
      </c>
      <c r="U7">
        <v>103</v>
      </c>
      <c r="V7" t="s">
        <v>846</v>
      </c>
      <c r="W7" t="s">
        <v>846</v>
      </c>
      <c r="X7" t="s">
        <v>846</v>
      </c>
      <c r="Y7" t="s">
        <v>846</v>
      </c>
      <c r="Z7" t="s">
        <v>911</v>
      </c>
    </row>
    <row r="8" spans="1:26" x14ac:dyDescent="0.25">
      <c r="A8" t="s">
        <v>823</v>
      </c>
      <c r="B8">
        <v>67</v>
      </c>
      <c r="C8">
        <v>1000</v>
      </c>
      <c r="D8">
        <v>50</v>
      </c>
      <c r="E8">
        <v>0</v>
      </c>
      <c r="F8">
        <v>25</v>
      </c>
      <c r="G8">
        <v>0</v>
      </c>
      <c r="H8">
        <v>50</v>
      </c>
      <c r="I8">
        <v>0</v>
      </c>
      <c r="J8">
        <v>15</v>
      </c>
      <c r="K8">
        <v>0</v>
      </c>
      <c r="L8">
        <v>10</v>
      </c>
      <c r="M8">
        <v>10</v>
      </c>
      <c r="N8">
        <v>35</v>
      </c>
      <c r="O8">
        <v>0</v>
      </c>
      <c r="P8">
        <v>33.299999999999997</v>
      </c>
      <c r="Q8">
        <v>0</v>
      </c>
      <c r="R8">
        <v>0</v>
      </c>
      <c r="S8" t="s">
        <v>68</v>
      </c>
      <c r="T8" t="s">
        <v>56</v>
      </c>
      <c r="U8">
        <v>104</v>
      </c>
      <c r="V8" t="s">
        <v>846</v>
      </c>
      <c r="W8" t="s">
        <v>846</v>
      </c>
      <c r="X8" t="s">
        <v>846</v>
      </c>
      <c r="Y8" t="s">
        <v>846</v>
      </c>
      <c r="Z8" t="s">
        <v>912</v>
      </c>
    </row>
    <row r="9" spans="1:26" x14ac:dyDescent="0.25">
      <c r="A9" t="s">
        <v>823</v>
      </c>
      <c r="B9">
        <v>0</v>
      </c>
      <c r="C9">
        <v>1000</v>
      </c>
      <c r="D9">
        <v>50</v>
      </c>
      <c r="E9">
        <v>0</v>
      </c>
      <c r="F9">
        <v>25</v>
      </c>
      <c r="G9">
        <v>0</v>
      </c>
      <c r="H9">
        <v>0</v>
      </c>
      <c r="I9">
        <v>0</v>
      </c>
      <c r="J9">
        <v>15</v>
      </c>
      <c r="K9">
        <v>0</v>
      </c>
      <c r="L9">
        <v>10</v>
      </c>
      <c r="M9">
        <v>10</v>
      </c>
      <c r="N9">
        <v>35</v>
      </c>
      <c r="O9">
        <v>0</v>
      </c>
      <c r="P9">
        <v>33.299999999999997</v>
      </c>
      <c r="Q9">
        <v>0</v>
      </c>
      <c r="R9">
        <v>0</v>
      </c>
      <c r="S9" t="s">
        <v>792</v>
      </c>
      <c r="T9" t="s">
        <v>56</v>
      </c>
      <c r="U9">
        <v>105</v>
      </c>
      <c r="V9" t="s">
        <v>846</v>
      </c>
      <c r="W9" t="s">
        <v>846</v>
      </c>
      <c r="X9" t="s">
        <v>846</v>
      </c>
      <c r="Y9" t="s">
        <v>846</v>
      </c>
      <c r="Z9" t="s">
        <v>913</v>
      </c>
    </row>
    <row r="10" spans="1:26" x14ac:dyDescent="0.25">
      <c r="A10" t="s">
        <v>81</v>
      </c>
      <c r="B10">
        <v>56</v>
      </c>
      <c r="C10">
        <v>350</v>
      </c>
      <c r="D10">
        <v>50</v>
      </c>
      <c r="E10">
        <v>0</v>
      </c>
      <c r="F10">
        <v>25</v>
      </c>
      <c r="G10">
        <v>0</v>
      </c>
      <c r="H10">
        <v>50</v>
      </c>
      <c r="I10">
        <v>0</v>
      </c>
      <c r="J10">
        <v>8.75</v>
      </c>
      <c r="K10">
        <v>20</v>
      </c>
      <c r="L10">
        <v>10</v>
      </c>
      <c r="M10">
        <v>10</v>
      </c>
      <c r="N10">
        <v>35</v>
      </c>
      <c r="O10">
        <v>0</v>
      </c>
      <c r="P10">
        <v>33.299999999999997</v>
      </c>
      <c r="Q10">
        <v>0</v>
      </c>
      <c r="R10">
        <v>0</v>
      </c>
      <c r="S10" t="s">
        <v>68</v>
      </c>
      <c r="T10" t="s">
        <v>56</v>
      </c>
      <c r="U10">
        <v>106</v>
      </c>
      <c r="V10" t="s">
        <v>846</v>
      </c>
      <c r="W10" t="s">
        <v>846</v>
      </c>
      <c r="X10" t="s">
        <v>846</v>
      </c>
      <c r="Y10" t="s">
        <v>846</v>
      </c>
      <c r="Z10" t="s">
        <v>914</v>
      </c>
    </row>
    <row r="11" spans="1:26" x14ac:dyDescent="0.25">
      <c r="A11" t="s">
        <v>81</v>
      </c>
      <c r="B11">
        <v>0</v>
      </c>
      <c r="C11">
        <v>250</v>
      </c>
      <c r="D11">
        <v>50</v>
      </c>
      <c r="E11">
        <v>0</v>
      </c>
      <c r="F11">
        <v>25</v>
      </c>
      <c r="G11">
        <v>0</v>
      </c>
      <c r="H11">
        <v>0</v>
      </c>
      <c r="I11">
        <v>0</v>
      </c>
      <c r="J11">
        <v>8.75</v>
      </c>
      <c r="K11">
        <v>20</v>
      </c>
      <c r="L11">
        <v>10</v>
      </c>
      <c r="M11">
        <v>10</v>
      </c>
      <c r="N11">
        <v>35</v>
      </c>
      <c r="O11">
        <v>0</v>
      </c>
      <c r="P11">
        <v>33.299999999999997</v>
      </c>
      <c r="Q11">
        <v>0</v>
      </c>
      <c r="R11">
        <v>0</v>
      </c>
      <c r="S11" t="s">
        <v>792</v>
      </c>
      <c r="T11" t="s">
        <v>56</v>
      </c>
      <c r="U11">
        <v>107</v>
      </c>
      <c r="V11" t="s">
        <v>846</v>
      </c>
      <c r="W11" t="s">
        <v>846</v>
      </c>
      <c r="X11" t="s">
        <v>846</v>
      </c>
      <c r="Y11" t="s">
        <v>846</v>
      </c>
      <c r="Z11" t="s">
        <v>915</v>
      </c>
    </row>
    <row r="12" spans="1:26" x14ac:dyDescent="0.25">
      <c r="A12" t="s">
        <v>826</v>
      </c>
      <c r="B12">
        <v>67</v>
      </c>
      <c r="C12">
        <v>350</v>
      </c>
      <c r="D12">
        <v>50</v>
      </c>
      <c r="E12">
        <v>0</v>
      </c>
      <c r="F12">
        <v>25</v>
      </c>
      <c r="G12">
        <v>0</v>
      </c>
      <c r="H12">
        <v>50</v>
      </c>
      <c r="I12">
        <v>0</v>
      </c>
      <c r="J12">
        <v>20</v>
      </c>
      <c r="K12">
        <v>0</v>
      </c>
      <c r="L12">
        <v>10</v>
      </c>
      <c r="M12">
        <v>10</v>
      </c>
      <c r="N12">
        <v>35</v>
      </c>
      <c r="O12">
        <v>0</v>
      </c>
      <c r="P12">
        <v>33.299999999999997</v>
      </c>
      <c r="Q12">
        <v>0</v>
      </c>
      <c r="R12">
        <v>0</v>
      </c>
      <c r="S12" t="s">
        <v>68</v>
      </c>
      <c r="T12" t="s">
        <v>56</v>
      </c>
      <c r="U12">
        <v>108</v>
      </c>
      <c r="V12" t="s">
        <v>846</v>
      </c>
      <c r="W12" t="s">
        <v>846</v>
      </c>
      <c r="X12" t="s">
        <v>846</v>
      </c>
      <c r="Y12" t="s">
        <v>846</v>
      </c>
      <c r="Z12" t="s">
        <v>916</v>
      </c>
    </row>
    <row r="13" spans="1:26" x14ac:dyDescent="0.25">
      <c r="A13" t="s">
        <v>826</v>
      </c>
      <c r="B13">
        <v>0</v>
      </c>
      <c r="C13">
        <v>350</v>
      </c>
      <c r="D13">
        <v>50</v>
      </c>
      <c r="E13">
        <v>0</v>
      </c>
      <c r="F13">
        <v>25</v>
      </c>
      <c r="G13">
        <v>0</v>
      </c>
      <c r="H13">
        <v>0</v>
      </c>
      <c r="I13">
        <v>0</v>
      </c>
      <c r="J13">
        <v>20</v>
      </c>
      <c r="K13">
        <v>0</v>
      </c>
      <c r="L13">
        <v>10</v>
      </c>
      <c r="M13">
        <v>10</v>
      </c>
      <c r="N13">
        <v>35</v>
      </c>
      <c r="O13">
        <v>0</v>
      </c>
      <c r="P13">
        <v>33.299999999999997</v>
      </c>
      <c r="Q13">
        <v>0</v>
      </c>
      <c r="R13">
        <v>0</v>
      </c>
      <c r="S13" t="s">
        <v>792</v>
      </c>
      <c r="T13" t="s">
        <v>56</v>
      </c>
      <c r="U13">
        <v>109</v>
      </c>
      <c r="V13" t="s">
        <v>846</v>
      </c>
      <c r="W13" t="s">
        <v>846</v>
      </c>
      <c r="X13" t="s">
        <v>846</v>
      </c>
      <c r="Y13" t="s">
        <v>846</v>
      </c>
      <c r="Z13" t="s">
        <v>917</v>
      </c>
    </row>
    <row r="14" spans="1:26" x14ac:dyDescent="0.25">
      <c r="A14" t="s">
        <v>918</v>
      </c>
      <c r="B14">
        <v>0</v>
      </c>
      <c r="C14">
        <v>500</v>
      </c>
      <c r="D14">
        <v>50</v>
      </c>
      <c r="E14">
        <v>0</v>
      </c>
      <c r="F14">
        <v>25</v>
      </c>
      <c r="G14">
        <v>0</v>
      </c>
      <c r="H14">
        <v>50</v>
      </c>
      <c r="I14">
        <v>0</v>
      </c>
      <c r="J14">
        <v>8.75</v>
      </c>
      <c r="K14">
        <v>10</v>
      </c>
      <c r="L14">
        <v>0</v>
      </c>
      <c r="M14">
        <v>10</v>
      </c>
      <c r="N14">
        <v>35</v>
      </c>
      <c r="O14">
        <v>0</v>
      </c>
      <c r="P14">
        <v>0</v>
      </c>
      <c r="Q14">
        <v>0</v>
      </c>
      <c r="R14">
        <v>0</v>
      </c>
      <c r="S14" t="s">
        <v>792</v>
      </c>
      <c r="T14" t="s">
        <v>56</v>
      </c>
      <c r="U14">
        <v>110</v>
      </c>
      <c r="V14">
        <v>10</v>
      </c>
      <c r="W14">
        <v>69</v>
      </c>
      <c r="X14" t="s">
        <v>846</v>
      </c>
      <c r="Y14" t="s">
        <v>846</v>
      </c>
      <c r="Z14" t="s">
        <v>919</v>
      </c>
    </row>
    <row r="15" spans="1:26" x14ac:dyDescent="0.25">
      <c r="A15" t="s">
        <v>828</v>
      </c>
      <c r="B15">
        <v>67</v>
      </c>
      <c r="C15">
        <v>350</v>
      </c>
      <c r="D15">
        <v>50</v>
      </c>
      <c r="E15">
        <v>0</v>
      </c>
      <c r="F15">
        <v>25</v>
      </c>
      <c r="G15">
        <v>0</v>
      </c>
      <c r="H15">
        <v>50</v>
      </c>
      <c r="I15">
        <v>0</v>
      </c>
      <c r="J15">
        <v>8.75</v>
      </c>
      <c r="K15">
        <v>0</v>
      </c>
      <c r="L15">
        <v>10</v>
      </c>
      <c r="M15">
        <v>10</v>
      </c>
      <c r="N15">
        <v>35</v>
      </c>
      <c r="O15">
        <v>0</v>
      </c>
      <c r="P15">
        <v>33.299999999999997</v>
      </c>
      <c r="Q15">
        <v>16</v>
      </c>
      <c r="R15">
        <v>165</v>
      </c>
      <c r="S15" t="s">
        <v>68</v>
      </c>
      <c r="T15" t="s">
        <v>56</v>
      </c>
      <c r="U15">
        <v>111</v>
      </c>
      <c r="V15" t="s">
        <v>846</v>
      </c>
      <c r="W15" t="s">
        <v>846</v>
      </c>
      <c r="X15" t="s">
        <v>846</v>
      </c>
      <c r="Y15" t="s">
        <v>846</v>
      </c>
      <c r="Z15" t="s">
        <v>920</v>
      </c>
    </row>
    <row r="16" spans="1:26" x14ac:dyDescent="0.25">
      <c r="A16" t="s">
        <v>828</v>
      </c>
      <c r="B16">
        <v>0</v>
      </c>
      <c r="C16">
        <v>350</v>
      </c>
      <c r="D16">
        <v>50</v>
      </c>
      <c r="E16">
        <v>0</v>
      </c>
      <c r="F16">
        <v>25</v>
      </c>
      <c r="G16">
        <v>0</v>
      </c>
      <c r="H16">
        <v>0</v>
      </c>
      <c r="I16">
        <v>0</v>
      </c>
      <c r="J16">
        <v>8.75</v>
      </c>
      <c r="K16">
        <v>0</v>
      </c>
      <c r="L16">
        <v>10</v>
      </c>
      <c r="M16">
        <v>10</v>
      </c>
      <c r="N16">
        <v>35</v>
      </c>
      <c r="O16">
        <v>0</v>
      </c>
      <c r="P16">
        <v>33.299999999999997</v>
      </c>
      <c r="Q16">
        <v>0</v>
      </c>
      <c r="R16">
        <v>425</v>
      </c>
      <c r="S16" t="s">
        <v>792</v>
      </c>
      <c r="T16" t="s">
        <v>56</v>
      </c>
      <c r="U16">
        <v>112</v>
      </c>
      <c r="V16" t="s">
        <v>846</v>
      </c>
      <c r="W16" t="s">
        <v>846</v>
      </c>
      <c r="X16" t="s">
        <v>846</v>
      </c>
      <c r="Y16" t="s">
        <v>846</v>
      </c>
      <c r="Z16" t="s">
        <v>921</v>
      </c>
    </row>
    <row r="17" spans="1:26" x14ac:dyDescent="0.25">
      <c r="A17" t="s">
        <v>910</v>
      </c>
      <c r="B17">
        <v>56</v>
      </c>
      <c r="C17">
        <v>1000</v>
      </c>
      <c r="D17">
        <v>50</v>
      </c>
      <c r="E17">
        <v>0</v>
      </c>
      <c r="F17">
        <v>25</v>
      </c>
      <c r="G17">
        <v>0</v>
      </c>
      <c r="H17">
        <v>50</v>
      </c>
      <c r="I17">
        <v>0</v>
      </c>
      <c r="J17">
        <v>8.75</v>
      </c>
      <c r="K17">
        <v>0</v>
      </c>
      <c r="L17">
        <v>10</v>
      </c>
      <c r="M17">
        <v>10</v>
      </c>
      <c r="N17">
        <v>35</v>
      </c>
      <c r="O17">
        <v>0</v>
      </c>
      <c r="P17">
        <v>33.299999999999997</v>
      </c>
      <c r="Q17">
        <v>0</v>
      </c>
      <c r="R17">
        <v>0</v>
      </c>
      <c r="S17" t="s">
        <v>68</v>
      </c>
      <c r="T17" t="s">
        <v>56</v>
      </c>
      <c r="U17">
        <v>113</v>
      </c>
      <c r="V17" t="s">
        <v>846</v>
      </c>
      <c r="W17" t="s">
        <v>846</v>
      </c>
      <c r="X17" t="s">
        <v>846</v>
      </c>
      <c r="Y17" t="s">
        <v>846</v>
      </c>
      <c r="Z17" t="s">
        <v>922</v>
      </c>
    </row>
    <row r="18" spans="1:26" x14ac:dyDescent="0.25">
      <c r="A18" t="s">
        <v>803</v>
      </c>
      <c r="B18">
        <v>0</v>
      </c>
      <c r="C18">
        <v>250</v>
      </c>
      <c r="D18">
        <v>50</v>
      </c>
      <c r="E18">
        <v>0</v>
      </c>
      <c r="F18">
        <v>25</v>
      </c>
      <c r="G18">
        <v>0</v>
      </c>
      <c r="H18">
        <v>0</v>
      </c>
      <c r="I18">
        <v>0</v>
      </c>
      <c r="J18">
        <v>0</v>
      </c>
      <c r="K18">
        <v>0</v>
      </c>
      <c r="L18">
        <v>10</v>
      </c>
      <c r="M18">
        <v>10</v>
      </c>
      <c r="N18">
        <v>35</v>
      </c>
      <c r="O18">
        <v>0</v>
      </c>
      <c r="P18">
        <v>33.299999999999997</v>
      </c>
      <c r="Q18">
        <v>0</v>
      </c>
      <c r="R18">
        <v>0</v>
      </c>
      <c r="S18" t="s">
        <v>792</v>
      </c>
      <c r="T18" t="s">
        <v>56</v>
      </c>
      <c r="U18">
        <v>114</v>
      </c>
      <c r="V18" t="s">
        <v>846</v>
      </c>
      <c r="W18" t="s">
        <v>846</v>
      </c>
      <c r="X18" t="s">
        <v>846</v>
      </c>
      <c r="Y18" t="s">
        <v>846</v>
      </c>
      <c r="Z18" t="s">
        <v>923</v>
      </c>
    </row>
    <row r="19" spans="1:26" x14ac:dyDescent="0.25">
      <c r="A19" t="s">
        <v>819</v>
      </c>
      <c r="B19">
        <v>67</v>
      </c>
      <c r="C19">
        <v>500</v>
      </c>
      <c r="D19">
        <v>50</v>
      </c>
      <c r="E19">
        <v>0</v>
      </c>
      <c r="F19">
        <v>25</v>
      </c>
      <c r="G19">
        <v>0</v>
      </c>
      <c r="H19">
        <v>50</v>
      </c>
      <c r="I19">
        <v>0</v>
      </c>
      <c r="J19">
        <v>20</v>
      </c>
      <c r="K19">
        <v>0</v>
      </c>
      <c r="L19">
        <v>10</v>
      </c>
      <c r="M19">
        <v>10</v>
      </c>
      <c r="N19">
        <v>35</v>
      </c>
      <c r="O19">
        <v>0</v>
      </c>
      <c r="P19">
        <v>33.299999999999997</v>
      </c>
      <c r="Q19">
        <v>0</v>
      </c>
      <c r="R19">
        <v>0</v>
      </c>
      <c r="S19" t="s">
        <v>787</v>
      </c>
      <c r="T19" t="s">
        <v>56</v>
      </c>
      <c r="U19">
        <v>115</v>
      </c>
      <c r="V19" t="s">
        <v>846</v>
      </c>
      <c r="W19" t="s">
        <v>846</v>
      </c>
      <c r="X19" t="s">
        <v>846</v>
      </c>
      <c r="Y19" t="s">
        <v>846</v>
      </c>
      <c r="Z19" t="s">
        <v>924</v>
      </c>
    </row>
    <row r="20" spans="1:26" x14ac:dyDescent="0.25">
      <c r="A20" t="s">
        <v>906</v>
      </c>
      <c r="B20">
        <v>67</v>
      </c>
      <c r="C20">
        <v>350</v>
      </c>
      <c r="D20">
        <v>50</v>
      </c>
      <c r="E20">
        <v>0</v>
      </c>
      <c r="F20">
        <v>25</v>
      </c>
      <c r="G20">
        <v>0</v>
      </c>
      <c r="H20">
        <v>50</v>
      </c>
      <c r="I20">
        <v>0</v>
      </c>
      <c r="J20">
        <v>8.75</v>
      </c>
      <c r="K20">
        <v>0</v>
      </c>
      <c r="L20">
        <v>10</v>
      </c>
      <c r="M20">
        <v>10</v>
      </c>
      <c r="N20">
        <v>35</v>
      </c>
      <c r="O20">
        <v>0</v>
      </c>
      <c r="P20">
        <v>33.299999999999997</v>
      </c>
      <c r="Q20">
        <v>16</v>
      </c>
      <c r="R20">
        <v>165</v>
      </c>
      <c r="S20" t="s">
        <v>787</v>
      </c>
      <c r="T20" t="s">
        <v>56</v>
      </c>
      <c r="U20">
        <v>116</v>
      </c>
      <c r="V20" t="s">
        <v>846</v>
      </c>
      <c r="W20" t="s">
        <v>846</v>
      </c>
      <c r="X20" t="s">
        <v>846</v>
      </c>
      <c r="Y20" t="s">
        <v>846</v>
      </c>
      <c r="Z20" t="s">
        <v>925</v>
      </c>
    </row>
    <row r="21" spans="1:26" x14ac:dyDescent="0.25">
      <c r="A21" t="s">
        <v>803</v>
      </c>
      <c r="B21">
        <v>56</v>
      </c>
      <c r="C21">
        <v>1000</v>
      </c>
      <c r="D21">
        <v>50</v>
      </c>
      <c r="E21">
        <v>0</v>
      </c>
      <c r="F21">
        <v>25</v>
      </c>
      <c r="G21">
        <v>0</v>
      </c>
      <c r="H21">
        <v>50</v>
      </c>
      <c r="I21">
        <v>0</v>
      </c>
      <c r="J21">
        <v>0</v>
      </c>
      <c r="K21">
        <v>0</v>
      </c>
      <c r="L21">
        <v>10</v>
      </c>
      <c r="M21">
        <v>10</v>
      </c>
      <c r="N21">
        <v>35</v>
      </c>
      <c r="O21">
        <v>0</v>
      </c>
      <c r="P21">
        <v>33.299999999999997</v>
      </c>
      <c r="Q21">
        <v>0</v>
      </c>
      <c r="R21">
        <v>0</v>
      </c>
      <c r="S21" t="s">
        <v>787</v>
      </c>
      <c r="T21" t="s">
        <v>56</v>
      </c>
      <c r="U21">
        <v>117</v>
      </c>
      <c r="V21" t="s">
        <v>846</v>
      </c>
      <c r="W21" t="s">
        <v>846</v>
      </c>
      <c r="X21" t="s">
        <v>846</v>
      </c>
      <c r="Y21" t="s">
        <v>846</v>
      </c>
      <c r="Z21" t="s">
        <v>926</v>
      </c>
    </row>
    <row r="22" spans="1:26" x14ac:dyDescent="0.25">
      <c r="A22" t="s">
        <v>823</v>
      </c>
      <c r="B22">
        <v>67</v>
      </c>
      <c r="C22">
        <v>1000</v>
      </c>
      <c r="D22">
        <v>50</v>
      </c>
      <c r="E22">
        <v>0</v>
      </c>
      <c r="F22">
        <v>25</v>
      </c>
      <c r="G22">
        <v>0</v>
      </c>
      <c r="H22">
        <v>50</v>
      </c>
      <c r="I22">
        <v>0</v>
      </c>
      <c r="J22">
        <v>15</v>
      </c>
      <c r="K22">
        <v>0</v>
      </c>
      <c r="L22">
        <v>10</v>
      </c>
      <c r="M22">
        <v>10</v>
      </c>
      <c r="N22">
        <v>35</v>
      </c>
      <c r="O22">
        <v>0</v>
      </c>
      <c r="P22">
        <v>33.299999999999997</v>
      </c>
      <c r="Q22">
        <v>0</v>
      </c>
      <c r="R22">
        <v>0</v>
      </c>
      <c r="S22" t="s">
        <v>787</v>
      </c>
      <c r="T22" t="s">
        <v>56</v>
      </c>
      <c r="U22">
        <v>118</v>
      </c>
      <c r="V22" t="s">
        <v>846</v>
      </c>
      <c r="W22" t="s">
        <v>846</v>
      </c>
      <c r="X22" t="s">
        <v>846</v>
      </c>
      <c r="Y22" t="s">
        <v>846</v>
      </c>
      <c r="Z22" t="s">
        <v>927</v>
      </c>
    </row>
    <row r="23" spans="1:26" x14ac:dyDescent="0.25">
      <c r="A23" t="s">
        <v>81</v>
      </c>
      <c r="B23">
        <v>56</v>
      </c>
      <c r="C23">
        <v>350</v>
      </c>
      <c r="D23">
        <v>50</v>
      </c>
      <c r="E23">
        <v>0</v>
      </c>
      <c r="F23">
        <v>25</v>
      </c>
      <c r="G23">
        <v>0</v>
      </c>
      <c r="H23">
        <v>50</v>
      </c>
      <c r="I23">
        <v>0</v>
      </c>
      <c r="J23">
        <v>8.75</v>
      </c>
      <c r="K23">
        <v>20</v>
      </c>
      <c r="L23">
        <v>10</v>
      </c>
      <c r="M23">
        <v>10</v>
      </c>
      <c r="N23">
        <v>35</v>
      </c>
      <c r="O23">
        <v>0</v>
      </c>
      <c r="P23">
        <v>33.299999999999997</v>
      </c>
      <c r="Q23">
        <v>0</v>
      </c>
      <c r="R23">
        <v>0</v>
      </c>
      <c r="S23" t="s">
        <v>787</v>
      </c>
      <c r="T23" t="s">
        <v>56</v>
      </c>
      <c r="U23">
        <v>119</v>
      </c>
      <c r="V23" t="s">
        <v>846</v>
      </c>
      <c r="W23" t="s">
        <v>846</v>
      </c>
      <c r="X23" t="s">
        <v>846</v>
      </c>
      <c r="Y23" t="s">
        <v>846</v>
      </c>
      <c r="Z23" t="s">
        <v>928</v>
      </c>
    </row>
    <row r="24" spans="1:26" x14ac:dyDescent="0.25">
      <c r="A24" t="s">
        <v>826</v>
      </c>
      <c r="B24">
        <v>67</v>
      </c>
      <c r="C24">
        <v>350</v>
      </c>
      <c r="D24">
        <v>50</v>
      </c>
      <c r="E24">
        <v>0</v>
      </c>
      <c r="F24">
        <v>25</v>
      </c>
      <c r="G24">
        <v>0</v>
      </c>
      <c r="H24">
        <v>50</v>
      </c>
      <c r="I24">
        <v>0</v>
      </c>
      <c r="J24">
        <v>20</v>
      </c>
      <c r="K24">
        <v>0</v>
      </c>
      <c r="L24">
        <v>10</v>
      </c>
      <c r="M24">
        <v>10</v>
      </c>
      <c r="N24">
        <v>35</v>
      </c>
      <c r="O24">
        <v>0</v>
      </c>
      <c r="P24">
        <v>33.299999999999997</v>
      </c>
      <c r="Q24">
        <v>0</v>
      </c>
      <c r="R24">
        <v>0</v>
      </c>
      <c r="S24" t="s">
        <v>787</v>
      </c>
      <c r="T24" t="s">
        <v>56</v>
      </c>
      <c r="U24">
        <v>120</v>
      </c>
      <c r="V24" t="s">
        <v>846</v>
      </c>
      <c r="W24" t="s">
        <v>846</v>
      </c>
      <c r="X24" t="s">
        <v>846</v>
      </c>
      <c r="Y24" t="s">
        <v>846</v>
      </c>
      <c r="Z24" t="s">
        <v>929</v>
      </c>
    </row>
    <row r="25" spans="1:26" x14ac:dyDescent="0.25">
      <c r="A25" t="s">
        <v>828</v>
      </c>
      <c r="B25">
        <v>67</v>
      </c>
      <c r="C25">
        <v>350</v>
      </c>
      <c r="D25">
        <v>50</v>
      </c>
      <c r="E25">
        <v>0</v>
      </c>
      <c r="F25">
        <v>25</v>
      </c>
      <c r="G25">
        <v>0</v>
      </c>
      <c r="H25">
        <v>50</v>
      </c>
      <c r="I25">
        <v>0</v>
      </c>
      <c r="J25">
        <v>8.75</v>
      </c>
      <c r="K25">
        <v>0</v>
      </c>
      <c r="L25">
        <v>10</v>
      </c>
      <c r="M25">
        <v>10</v>
      </c>
      <c r="N25">
        <v>35</v>
      </c>
      <c r="O25">
        <v>0</v>
      </c>
      <c r="P25">
        <v>33.299999999999997</v>
      </c>
      <c r="Q25">
        <v>16</v>
      </c>
      <c r="R25">
        <v>165</v>
      </c>
      <c r="S25" t="s">
        <v>787</v>
      </c>
      <c r="T25" t="s">
        <v>56</v>
      </c>
      <c r="U25">
        <v>121</v>
      </c>
      <c r="V25" t="s">
        <v>846</v>
      </c>
      <c r="W25" t="s">
        <v>846</v>
      </c>
      <c r="X25" t="s">
        <v>846</v>
      </c>
      <c r="Y25" t="s">
        <v>846</v>
      </c>
      <c r="Z25" t="s">
        <v>930</v>
      </c>
    </row>
    <row r="26" spans="1:26" x14ac:dyDescent="0.25">
      <c r="A26" t="s">
        <v>910</v>
      </c>
      <c r="B26">
        <v>56</v>
      </c>
      <c r="C26">
        <v>1000</v>
      </c>
      <c r="D26">
        <v>50</v>
      </c>
      <c r="E26">
        <v>0</v>
      </c>
      <c r="F26">
        <v>25</v>
      </c>
      <c r="G26">
        <v>0</v>
      </c>
      <c r="H26">
        <v>50</v>
      </c>
      <c r="I26">
        <v>0</v>
      </c>
      <c r="J26">
        <v>8.75</v>
      </c>
      <c r="K26">
        <v>0</v>
      </c>
      <c r="L26">
        <v>10</v>
      </c>
      <c r="M26">
        <v>10</v>
      </c>
      <c r="N26">
        <v>35</v>
      </c>
      <c r="O26">
        <v>0</v>
      </c>
      <c r="P26">
        <v>33.299999999999997</v>
      </c>
      <c r="Q26">
        <v>0</v>
      </c>
      <c r="R26">
        <v>0</v>
      </c>
      <c r="S26" t="s">
        <v>787</v>
      </c>
      <c r="T26" t="s">
        <v>56</v>
      </c>
      <c r="U26">
        <v>122</v>
      </c>
      <c r="V26" t="s">
        <v>846</v>
      </c>
      <c r="W26" t="s">
        <v>846</v>
      </c>
      <c r="X26" t="s">
        <v>846</v>
      </c>
      <c r="Y26" t="s">
        <v>846</v>
      </c>
      <c r="Z26" t="s">
        <v>931</v>
      </c>
    </row>
    <row r="27" spans="1:26" x14ac:dyDescent="0.25">
      <c r="A27" t="s">
        <v>918</v>
      </c>
      <c r="B27">
        <v>0</v>
      </c>
      <c r="C27">
        <v>500</v>
      </c>
      <c r="D27">
        <v>50</v>
      </c>
      <c r="E27">
        <v>0</v>
      </c>
      <c r="F27">
        <v>25</v>
      </c>
      <c r="G27">
        <v>0</v>
      </c>
      <c r="H27">
        <v>50</v>
      </c>
      <c r="I27">
        <v>0</v>
      </c>
      <c r="J27">
        <v>8.75</v>
      </c>
      <c r="K27">
        <v>10</v>
      </c>
      <c r="L27">
        <v>0</v>
      </c>
      <c r="M27">
        <v>10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932</v>
      </c>
      <c r="T27" t="s">
        <v>56</v>
      </c>
      <c r="U27">
        <v>123</v>
      </c>
      <c r="V27">
        <v>10</v>
      </c>
      <c r="W27">
        <v>69</v>
      </c>
      <c r="X27" t="s">
        <v>846</v>
      </c>
      <c r="Y27" t="s">
        <v>846</v>
      </c>
      <c r="Z27" t="s">
        <v>933</v>
      </c>
    </row>
    <row r="28" spans="1:26" x14ac:dyDescent="0.25">
      <c r="A28" t="s">
        <v>934</v>
      </c>
      <c r="B28">
        <v>67</v>
      </c>
      <c r="C28">
        <v>500</v>
      </c>
      <c r="D28">
        <v>50</v>
      </c>
      <c r="E28">
        <v>0</v>
      </c>
      <c r="F28">
        <v>25</v>
      </c>
      <c r="G28">
        <v>0</v>
      </c>
      <c r="H28">
        <v>50</v>
      </c>
      <c r="I28">
        <v>0</v>
      </c>
      <c r="J28">
        <v>30</v>
      </c>
      <c r="K28">
        <v>0</v>
      </c>
      <c r="L28">
        <v>10</v>
      </c>
      <c r="M28">
        <v>10</v>
      </c>
      <c r="N28">
        <v>35</v>
      </c>
      <c r="O28">
        <v>0</v>
      </c>
      <c r="P28">
        <v>33.299999999999997</v>
      </c>
      <c r="Q28">
        <v>0</v>
      </c>
      <c r="R28">
        <v>0</v>
      </c>
      <c r="S28" t="s">
        <v>68</v>
      </c>
      <c r="T28" t="s">
        <v>56</v>
      </c>
      <c r="U28">
        <v>124</v>
      </c>
      <c r="V28" t="s">
        <v>846</v>
      </c>
      <c r="W28" t="s">
        <v>846</v>
      </c>
      <c r="X28" t="s">
        <v>846</v>
      </c>
      <c r="Y28" t="s">
        <v>846</v>
      </c>
      <c r="Z28" t="s">
        <v>935</v>
      </c>
    </row>
    <row r="29" spans="1:26" x14ac:dyDescent="0.25">
      <c r="A29" t="s">
        <v>934</v>
      </c>
      <c r="B29">
        <v>0</v>
      </c>
      <c r="C29">
        <v>350</v>
      </c>
      <c r="D29">
        <v>50</v>
      </c>
      <c r="E29">
        <v>0</v>
      </c>
      <c r="F29">
        <v>25</v>
      </c>
      <c r="G29">
        <v>0</v>
      </c>
      <c r="H29">
        <v>0</v>
      </c>
      <c r="I29">
        <v>0</v>
      </c>
      <c r="J29">
        <v>30</v>
      </c>
      <c r="K29">
        <v>0</v>
      </c>
      <c r="L29">
        <v>10</v>
      </c>
      <c r="M29">
        <v>10</v>
      </c>
      <c r="N29">
        <v>35</v>
      </c>
      <c r="O29">
        <v>0</v>
      </c>
      <c r="P29">
        <v>33.299999999999997</v>
      </c>
      <c r="Q29">
        <v>0</v>
      </c>
      <c r="R29">
        <v>0</v>
      </c>
      <c r="S29" t="s">
        <v>792</v>
      </c>
      <c r="T29" t="s">
        <v>56</v>
      </c>
      <c r="U29">
        <v>125</v>
      </c>
      <c r="V29" t="s">
        <v>846</v>
      </c>
      <c r="W29" t="s">
        <v>846</v>
      </c>
      <c r="X29" t="s">
        <v>846</v>
      </c>
      <c r="Y29" t="s">
        <v>846</v>
      </c>
      <c r="Z29" t="s">
        <v>936</v>
      </c>
    </row>
    <row r="30" spans="1:26" x14ac:dyDescent="0.25">
      <c r="A30" t="s">
        <v>819</v>
      </c>
      <c r="B30">
        <v>67</v>
      </c>
      <c r="C30">
        <v>500</v>
      </c>
      <c r="D30">
        <v>50</v>
      </c>
      <c r="E30">
        <v>0</v>
      </c>
      <c r="F30">
        <v>25</v>
      </c>
      <c r="G30">
        <v>0</v>
      </c>
      <c r="H30">
        <v>50</v>
      </c>
      <c r="I30">
        <v>0</v>
      </c>
      <c r="J30">
        <v>20</v>
      </c>
      <c r="K30">
        <v>0</v>
      </c>
      <c r="L30">
        <v>10</v>
      </c>
      <c r="M30">
        <v>10</v>
      </c>
      <c r="N30">
        <v>35</v>
      </c>
      <c r="O30">
        <v>0</v>
      </c>
      <c r="P30">
        <v>33.299999999999997</v>
      </c>
      <c r="Q30">
        <v>0</v>
      </c>
      <c r="R30">
        <v>0</v>
      </c>
      <c r="S30" t="s">
        <v>782</v>
      </c>
      <c r="T30" t="s">
        <v>56</v>
      </c>
      <c r="U30">
        <v>126</v>
      </c>
      <c r="V30" t="s">
        <v>846</v>
      </c>
      <c r="W30" t="s">
        <v>846</v>
      </c>
      <c r="X30" t="s">
        <v>846</v>
      </c>
      <c r="Y30" t="s">
        <v>846</v>
      </c>
      <c r="Z30" t="s">
        <v>937</v>
      </c>
    </row>
    <row r="31" spans="1:26" x14ac:dyDescent="0.25">
      <c r="A31" t="s">
        <v>906</v>
      </c>
      <c r="B31">
        <v>67</v>
      </c>
      <c r="C31">
        <v>350</v>
      </c>
      <c r="D31">
        <v>50</v>
      </c>
      <c r="E31">
        <v>0</v>
      </c>
      <c r="F31">
        <v>25</v>
      </c>
      <c r="G31">
        <v>0</v>
      </c>
      <c r="H31">
        <v>50</v>
      </c>
      <c r="I31">
        <v>0</v>
      </c>
      <c r="J31">
        <v>8.75</v>
      </c>
      <c r="K31">
        <v>0</v>
      </c>
      <c r="L31">
        <v>10</v>
      </c>
      <c r="M31">
        <v>10</v>
      </c>
      <c r="N31">
        <v>35</v>
      </c>
      <c r="O31">
        <v>0</v>
      </c>
      <c r="P31">
        <v>33.299999999999997</v>
      </c>
      <c r="Q31">
        <v>16</v>
      </c>
      <c r="R31">
        <v>165</v>
      </c>
      <c r="S31" t="s">
        <v>782</v>
      </c>
      <c r="T31" t="s">
        <v>56</v>
      </c>
      <c r="U31">
        <v>127</v>
      </c>
      <c r="V31" t="s">
        <v>846</v>
      </c>
      <c r="W31" t="s">
        <v>846</v>
      </c>
      <c r="X31" t="s">
        <v>846</v>
      </c>
      <c r="Y31" t="s">
        <v>846</v>
      </c>
      <c r="Z31" t="s">
        <v>938</v>
      </c>
    </row>
    <row r="32" spans="1:26" x14ac:dyDescent="0.25">
      <c r="A32" t="s">
        <v>803</v>
      </c>
      <c r="B32">
        <v>56</v>
      </c>
      <c r="C32">
        <v>1000</v>
      </c>
      <c r="D32">
        <v>50</v>
      </c>
      <c r="E32">
        <v>0</v>
      </c>
      <c r="F32">
        <v>25</v>
      </c>
      <c r="G32">
        <v>0</v>
      </c>
      <c r="H32">
        <v>50</v>
      </c>
      <c r="I32">
        <v>0</v>
      </c>
      <c r="J32">
        <v>0</v>
      </c>
      <c r="K32">
        <v>0</v>
      </c>
      <c r="L32">
        <v>10</v>
      </c>
      <c r="M32">
        <v>10</v>
      </c>
      <c r="N32">
        <v>35</v>
      </c>
      <c r="O32">
        <v>0</v>
      </c>
      <c r="P32">
        <v>33.299999999999997</v>
      </c>
      <c r="Q32">
        <v>0</v>
      </c>
      <c r="R32">
        <v>0</v>
      </c>
      <c r="S32" t="s">
        <v>782</v>
      </c>
      <c r="T32" t="s">
        <v>56</v>
      </c>
      <c r="U32">
        <v>128</v>
      </c>
      <c r="V32" t="s">
        <v>846</v>
      </c>
      <c r="W32" t="s">
        <v>846</v>
      </c>
      <c r="X32" t="s">
        <v>846</v>
      </c>
      <c r="Y32" t="s">
        <v>846</v>
      </c>
      <c r="Z32" t="s">
        <v>939</v>
      </c>
    </row>
    <row r="33" spans="1:26" x14ac:dyDescent="0.25">
      <c r="A33" t="s">
        <v>823</v>
      </c>
      <c r="B33">
        <v>67</v>
      </c>
      <c r="C33">
        <v>1000</v>
      </c>
      <c r="D33">
        <v>50</v>
      </c>
      <c r="E33">
        <v>0</v>
      </c>
      <c r="F33">
        <v>25</v>
      </c>
      <c r="G33">
        <v>0</v>
      </c>
      <c r="H33">
        <v>50</v>
      </c>
      <c r="I33">
        <v>0</v>
      </c>
      <c r="J33">
        <v>15</v>
      </c>
      <c r="K33">
        <v>0</v>
      </c>
      <c r="L33">
        <v>10</v>
      </c>
      <c r="M33">
        <v>10</v>
      </c>
      <c r="N33">
        <v>35</v>
      </c>
      <c r="O33">
        <v>0</v>
      </c>
      <c r="P33">
        <v>33.299999999999997</v>
      </c>
      <c r="Q33">
        <v>0</v>
      </c>
      <c r="R33">
        <v>0</v>
      </c>
      <c r="S33" t="s">
        <v>782</v>
      </c>
      <c r="T33" t="s">
        <v>56</v>
      </c>
      <c r="U33">
        <v>129</v>
      </c>
      <c r="V33" t="s">
        <v>846</v>
      </c>
      <c r="W33" t="s">
        <v>846</v>
      </c>
      <c r="X33" t="s">
        <v>846</v>
      </c>
      <c r="Y33" t="s">
        <v>846</v>
      </c>
      <c r="Z33" t="s">
        <v>940</v>
      </c>
    </row>
    <row r="34" spans="1:26" x14ac:dyDescent="0.25">
      <c r="A34" t="s">
        <v>910</v>
      </c>
      <c r="B34">
        <v>56</v>
      </c>
      <c r="C34">
        <v>1000</v>
      </c>
      <c r="D34">
        <v>50</v>
      </c>
      <c r="E34">
        <v>0</v>
      </c>
      <c r="F34">
        <v>25</v>
      </c>
      <c r="G34">
        <v>0</v>
      </c>
      <c r="H34">
        <v>50</v>
      </c>
      <c r="I34">
        <v>0</v>
      </c>
      <c r="J34">
        <v>8.75</v>
      </c>
      <c r="K34">
        <v>0</v>
      </c>
      <c r="L34">
        <v>10</v>
      </c>
      <c r="M34">
        <v>10</v>
      </c>
      <c r="N34">
        <v>35</v>
      </c>
      <c r="O34">
        <v>0</v>
      </c>
      <c r="P34">
        <v>33.299999999999997</v>
      </c>
      <c r="Q34">
        <v>0</v>
      </c>
      <c r="R34">
        <v>0</v>
      </c>
      <c r="S34" t="s">
        <v>782</v>
      </c>
      <c r="T34" t="s">
        <v>56</v>
      </c>
      <c r="U34">
        <v>130</v>
      </c>
      <c r="V34" t="s">
        <v>846</v>
      </c>
      <c r="W34" t="s">
        <v>846</v>
      </c>
      <c r="X34" t="s">
        <v>846</v>
      </c>
      <c r="Y34" t="s">
        <v>846</v>
      </c>
      <c r="Z34" t="s">
        <v>941</v>
      </c>
    </row>
    <row r="35" spans="1:26" x14ac:dyDescent="0.25">
      <c r="A35" t="s">
        <v>81</v>
      </c>
      <c r="B35">
        <v>56</v>
      </c>
      <c r="C35">
        <v>350</v>
      </c>
      <c r="D35">
        <v>50</v>
      </c>
      <c r="E35">
        <v>0</v>
      </c>
      <c r="F35">
        <v>25</v>
      </c>
      <c r="G35">
        <v>0</v>
      </c>
      <c r="H35">
        <v>50</v>
      </c>
      <c r="I35">
        <v>0</v>
      </c>
      <c r="J35">
        <v>8.75</v>
      </c>
      <c r="K35">
        <v>20</v>
      </c>
      <c r="L35">
        <v>10</v>
      </c>
      <c r="M35">
        <v>10</v>
      </c>
      <c r="N35">
        <v>35</v>
      </c>
      <c r="O35">
        <v>0</v>
      </c>
      <c r="P35">
        <v>33.299999999999997</v>
      </c>
      <c r="Q35">
        <v>0</v>
      </c>
      <c r="R35">
        <v>0</v>
      </c>
      <c r="S35" t="s">
        <v>782</v>
      </c>
      <c r="T35" t="s">
        <v>56</v>
      </c>
      <c r="U35">
        <v>131</v>
      </c>
      <c r="V35" t="s">
        <v>846</v>
      </c>
      <c r="W35" t="s">
        <v>846</v>
      </c>
      <c r="X35" t="s">
        <v>846</v>
      </c>
      <c r="Y35" t="s">
        <v>846</v>
      </c>
      <c r="Z35" t="s">
        <v>942</v>
      </c>
    </row>
    <row r="36" spans="1:26" x14ac:dyDescent="0.25">
      <c r="A36" t="s">
        <v>826</v>
      </c>
      <c r="B36">
        <v>67</v>
      </c>
      <c r="C36">
        <v>350</v>
      </c>
      <c r="D36">
        <v>50</v>
      </c>
      <c r="E36">
        <v>0</v>
      </c>
      <c r="F36">
        <v>25</v>
      </c>
      <c r="G36">
        <v>0</v>
      </c>
      <c r="H36">
        <v>50</v>
      </c>
      <c r="I36">
        <v>0</v>
      </c>
      <c r="J36">
        <v>20</v>
      </c>
      <c r="K36">
        <v>0</v>
      </c>
      <c r="L36">
        <v>10</v>
      </c>
      <c r="M36">
        <v>10</v>
      </c>
      <c r="N36">
        <v>35</v>
      </c>
      <c r="O36">
        <v>0</v>
      </c>
      <c r="P36">
        <v>33.299999999999997</v>
      </c>
      <c r="Q36">
        <v>0</v>
      </c>
      <c r="R36">
        <v>0</v>
      </c>
      <c r="S36" t="s">
        <v>782</v>
      </c>
      <c r="T36" t="s">
        <v>56</v>
      </c>
      <c r="U36">
        <v>132</v>
      </c>
      <c r="V36" t="s">
        <v>846</v>
      </c>
      <c r="W36" t="s">
        <v>846</v>
      </c>
      <c r="X36" t="s">
        <v>846</v>
      </c>
      <c r="Y36" t="s">
        <v>846</v>
      </c>
      <c r="Z36" t="s">
        <v>943</v>
      </c>
    </row>
    <row r="37" spans="1:26" x14ac:dyDescent="0.25">
      <c r="A37" t="s">
        <v>828</v>
      </c>
      <c r="B37">
        <v>67</v>
      </c>
      <c r="C37">
        <v>350</v>
      </c>
      <c r="D37">
        <v>50</v>
      </c>
      <c r="E37">
        <v>0</v>
      </c>
      <c r="F37">
        <v>25</v>
      </c>
      <c r="G37">
        <v>0</v>
      </c>
      <c r="H37">
        <v>50</v>
      </c>
      <c r="I37">
        <v>0</v>
      </c>
      <c r="J37">
        <v>8.75</v>
      </c>
      <c r="K37">
        <v>0</v>
      </c>
      <c r="L37">
        <v>10</v>
      </c>
      <c r="M37">
        <v>10</v>
      </c>
      <c r="N37">
        <v>35</v>
      </c>
      <c r="O37">
        <v>0</v>
      </c>
      <c r="P37">
        <v>33.299999999999997</v>
      </c>
      <c r="Q37">
        <v>16</v>
      </c>
      <c r="R37">
        <v>165</v>
      </c>
      <c r="S37" t="s">
        <v>782</v>
      </c>
      <c r="T37" t="s">
        <v>56</v>
      </c>
      <c r="U37">
        <v>133</v>
      </c>
      <c r="V37" t="s">
        <v>846</v>
      </c>
      <c r="W37" t="s">
        <v>846</v>
      </c>
      <c r="X37" t="s">
        <v>846</v>
      </c>
      <c r="Y37" t="s">
        <v>846</v>
      </c>
      <c r="Z37" t="s">
        <v>944</v>
      </c>
    </row>
    <row r="38" spans="1:26" x14ac:dyDescent="0.25">
      <c r="A38" t="s">
        <v>934</v>
      </c>
      <c r="B38">
        <v>67</v>
      </c>
      <c r="C38">
        <v>500</v>
      </c>
      <c r="D38">
        <v>50</v>
      </c>
      <c r="E38">
        <v>0</v>
      </c>
      <c r="F38">
        <v>25</v>
      </c>
      <c r="G38">
        <v>0</v>
      </c>
      <c r="H38">
        <v>50</v>
      </c>
      <c r="I38">
        <v>0</v>
      </c>
      <c r="J38">
        <v>30</v>
      </c>
      <c r="K38">
        <v>0</v>
      </c>
      <c r="L38">
        <v>10</v>
      </c>
      <c r="M38">
        <v>10</v>
      </c>
      <c r="N38">
        <v>35</v>
      </c>
      <c r="O38">
        <v>0</v>
      </c>
      <c r="P38">
        <v>33.299999999999997</v>
      </c>
      <c r="Q38">
        <v>0</v>
      </c>
      <c r="R38">
        <v>0</v>
      </c>
      <c r="S38" t="s">
        <v>782</v>
      </c>
      <c r="T38" t="s">
        <v>56</v>
      </c>
      <c r="U38">
        <v>134</v>
      </c>
      <c r="V38" t="s">
        <v>846</v>
      </c>
      <c r="W38" t="s">
        <v>846</v>
      </c>
      <c r="X38" t="s">
        <v>846</v>
      </c>
      <c r="Y38" t="s">
        <v>846</v>
      </c>
      <c r="Z38" t="s">
        <v>945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A1C8-BBC7-4FD7-8524-115EE306FF59}">
  <dimension ref="A1:AP2"/>
  <sheetViews>
    <sheetView workbookViewId="0">
      <selection sqref="A1:AP2"/>
    </sheetView>
  </sheetViews>
  <sheetFormatPr defaultRowHeight="15" x14ac:dyDescent="0.25"/>
  <sheetData>
    <row r="1" spans="1:42" x14ac:dyDescent="0.25">
      <c r="A1" t="s">
        <v>946</v>
      </c>
      <c r="B1" t="s">
        <v>947</v>
      </c>
      <c r="C1" t="s">
        <v>948</v>
      </c>
      <c r="D1" t="s">
        <v>949</v>
      </c>
      <c r="E1" t="s">
        <v>950</v>
      </c>
      <c r="F1" t="s">
        <v>951</v>
      </c>
      <c r="G1" t="s">
        <v>952</v>
      </c>
      <c r="H1" t="s">
        <v>953</v>
      </c>
      <c r="I1" t="s">
        <v>954</v>
      </c>
      <c r="J1" t="s">
        <v>955</v>
      </c>
      <c r="K1" t="s">
        <v>956</v>
      </c>
      <c r="L1" t="s">
        <v>957</v>
      </c>
      <c r="M1" t="s">
        <v>958</v>
      </c>
      <c r="N1" t="s">
        <v>959</v>
      </c>
      <c r="O1" t="s">
        <v>960</v>
      </c>
      <c r="P1" t="s">
        <v>961</v>
      </c>
      <c r="Q1" t="s">
        <v>962</v>
      </c>
      <c r="R1" t="s">
        <v>963</v>
      </c>
      <c r="S1" t="s">
        <v>964</v>
      </c>
      <c r="T1" t="s">
        <v>965</v>
      </c>
      <c r="U1" t="s">
        <v>966</v>
      </c>
      <c r="V1" t="s">
        <v>839</v>
      </c>
      <c r="W1" t="s">
        <v>967</v>
      </c>
      <c r="X1" t="s">
        <v>726</v>
      </c>
      <c r="Y1" t="s">
        <v>59</v>
      </c>
      <c r="Z1" t="s">
        <v>516</v>
      </c>
      <c r="AA1" t="s">
        <v>968</v>
      </c>
      <c r="AB1" t="s">
        <v>969</v>
      </c>
      <c r="AC1" t="s">
        <v>970</v>
      </c>
      <c r="AD1" t="s">
        <v>971</v>
      </c>
      <c r="AE1" t="s">
        <v>972</v>
      </c>
      <c r="AF1" t="s">
        <v>973</v>
      </c>
      <c r="AG1" t="s">
        <v>974</v>
      </c>
      <c r="AH1" t="s">
        <v>975</v>
      </c>
      <c r="AI1" t="s">
        <v>976</v>
      </c>
      <c r="AJ1" t="s">
        <v>845</v>
      </c>
      <c r="AK1" t="s">
        <v>977</v>
      </c>
      <c r="AL1" t="s">
        <v>978</v>
      </c>
      <c r="AM1" t="s">
        <v>979</v>
      </c>
      <c r="AN1" t="s">
        <v>980</v>
      </c>
      <c r="AO1" t="s">
        <v>981</v>
      </c>
      <c r="AP1" t="s">
        <v>982</v>
      </c>
    </row>
    <row r="2" spans="1:42" x14ac:dyDescent="0.25">
      <c r="A2">
        <v>202605</v>
      </c>
      <c r="B2" s="23">
        <v>46177.501203703701</v>
      </c>
      <c r="C2">
        <v>20010124002</v>
      </c>
      <c r="D2">
        <v>10128</v>
      </c>
      <c r="E2">
        <v>7302</v>
      </c>
      <c r="F2">
        <v>12037</v>
      </c>
      <c r="G2">
        <v>20000024</v>
      </c>
      <c r="H2">
        <v>58</v>
      </c>
      <c r="I2">
        <v>142</v>
      </c>
      <c r="J2">
        <v>455</v>
      </c>
      <c r="K2">
        <v>835</v>
      </c>
      <c r="L2">
        <v>11</v>
      </c>
      <c r="M2">
        <v>1</v>
      </c>
      <c r="N2">
        <v>2116</v>
      </c>
      <c r="O2">
        <v>1</v>
      </c>
      <c r="P2">
        <v>140</v>
      </c>
      <c r="Q2">
        <v>1</v>
      </c>
      <c r="R2">
        <v>810</v>
      </c>
      <c r="S2">
        <v>1</v>
      </c>
      <c r="T2">
        <v>880</v>
      </c>
      <c r="U2">
        <v>1</v>
      </c>
      <c r="V2">
        <v>1</v>
      </c>
      <c r="W2">
        <v>7.0000000000000007E-2</v>
      </c>
      <c r="X2" t="s">
        <v>56</v>
      </c>
      <c r="Y2" t="s">
        <v>847</v>
      </c>
      <c r="Z2">
        <v>55.32</v>
      </c>
      <c r="AA2">
        <v>0</v>
      </c>
      <c r="AB2" t="s">
        <v>983</v>
      </c>
      <c r="AC2" t="s">
        <v>983</v>
      </c>
      <c r="AD2" t="s">
        <v>846</v>
      </c>
      <c r="AE2" t="s">
        <v>846</v>
      </c>
      <c r="AF2" t="s">
        <v>846</v>
      </c>
      <c r="AG2">
        <v>2</v>
      </c>
      <c r="AH2">
        <v>15</v>
      </c>
      <c r="AI2">
        <v>55.32</v>
      </c>
      <c r="AJ2" t="s">
        <v>984</v>
      </c>
      <c r="AK2" t="s">
        <v>846</v>
      </c>
      <c r="AL2">
        <v>0</v>
      </c>
      <c r="AM2">
        <v>0</v>
      </c>
      <c r="AN2" t="s">
        <v>846</v>
      </c>
      <c r="AO2" t="s">
        <v>846</v>
      </c>
      <c r="AP2" t="s">
        <v>985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1898-4F8C-47E6-BAF3-8DF57C4CED84}">
  <dimension ref="A1:E8"/>
  <sheetViews>
    <sheetView workbookViewId="0">
      <selection activeCell="F13" sqref="F13"/>
    </sheetView>
  </sheetViews>
  <sheetFormatPr defaultRowHeight="15" x14ac:dyDescent="0.25"/>
  <cols>
    <col min="3" max="3" width="16.28515625" customWidth="1"/>
  </cols>
  <sheetData>
    <row r="1" spans="1:5" x14ac:dyDescent="0.25">
      <c r="A1" t="s">
        <v>839</v>
      </c>
      <c r="B1" t="s">
        <v>718</v>
      </c>
      <c r="C1" t="s">
        <v>547</v>
      </c>
      <c r="D1" t="s">
        <v>52</v>
      </c>
      <c r="E1" t="s">
        <v>845</v>
      </c>
    </row>
    <row r="2" spans="1:5" x14ac:dyDescent="0.25">
      <c r="A2">
        <v>29</v>
      </c>
      <c r="B2" t="s">
        <v>986</v>
      </c>
      <c r="C2">
        <v>0.1</v>
      </c>
      <c r="D2" t="s">
        <v>56</v>
      </c>
      <c r="E2" t="s">
        <v>987</v>
      </c>
    </row>
    <row r="3" spans="1:5" x14ac:dyDescent="0.25">
      <c r="A3">
        <v>30</v>
      </c>
      <c r="B3" t="s">
        <v>988</v>
      </c>
      <c r="C3">
        <v>0.22</v>
      </c>
      <c r="D3" t="s">
        <v>56</v>
      </c>
      <c r="E3" t="s">
        <v>989</v>
      </c>
    </row>
    <row r="4" spans="1:5" x14ac:dyDescent="0.25">
      <c r="A4">
        <v>31</v>
      </c>
      <c r="B4" t="s">
        <v>990</v>
      </c>
      <c r="C4">
        <v>0.3</v>
      </c>
      <c r="D4" t="s">
        <v>56</v>
      </c>
      <c r="E4" t="s">
        <v>991</v>
      </c>
    </row>
    <row r="5" spans="1:5" x14ac:dyDescent="0.25">
      <c r="A5">
        <v>32</v>
      </c>
      <c r="B5" t="s">
        <v>992</v>
      </c>
      <c r="C5">
        <v>0.5</v>
      </c>
      <c r="D5" t="s">
        <v>56</v>
      </c>
      <c r="E5" t="s">
        <v>993</v>
      </c>
    </row>
    <row r="6" spans="1:5" x14ac:dyDescent="0.25">
      <c r="A6">
        <v>33</v>
      </c>
      <c r="B6" t="s">
        <v>994</v>
      </c>
      <c r="C6">
        <v>0.6</v>
      </c>
      <c r="D6" t="s">
        <v>56</v>
      </c>
      <c r="E6" t="s">
        <v>995</v>
      </c>
    </row>
    <row r="7" spans="1:5" x14ac:dyDescent="0.25">
      <c r="A7">
        <v>34</v>
      </c>
      <c r="B7" t="s">
        <v>996</v>
      </c>
      <c r="C7">
        <v>0.8</v>
      </c>
      <c r="D7" t="s">
        <v>56</v>
      </c>
      <c r="E7" t="s">
        <v>997</v>
      </c>
    </row>
    <row r="8" spans="1:5" x14ac:dyDescent="0.25">
      <c r="A8">
        <v>35</v>
      </c>
      <c r="B8" t="s">
        <v>998</v>
      </c>
      <c r="C8">
        <v>0</v>
      </c>
      <c r="D8" t="s">
        <v>56</v>
      </c>
      <c r="E8" t="s">
        <v>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3967-5FEF-451C-A0A4-A7C5D8C6BB43}">
  <dimension ref="A1:P11"/>
  <sheetViews>
    <sheetView workbookViewId="0">
      <selection sqref="A1:P11"/>
    </sheetView>
  </sheetViews>
  <sheetFormatPr defaultRowHeight="15" x14ac:dyDescent="0.25"/>
  <sheetData>
    <row r="1" spans="1:16" x14ac:dyDescent="0.25">
      <c r="A1">
        <v>23</v>
      </c>
      <c r="B1" t="s">
        <v>81</v>
      </c>
      <c r="C1" t="s">
        <v>1000</v>
      </c>
      <c r="D1">
        <v>0</v>
      </c>
      <c r="E1">
        <v>1</v>
      </c>
      <c r="F1">
        <v>8.75</v>
      </c>
      <c r="G1">
        <v>70</v>
      </c>
      <c r="H1" t="s">
        <v>56</v>
      </c>
      <c r="I1" t="s">
        <v>1001</v>
      </c>
      <c r="J1" t="s">
        <v>846</v>
      </c>
      <c r="K1" t="s">
        <v>846</v>
      </c>
      <c r="L1" t="s">
        <v>846</v>
      </c>
      <c r="M1" t="s">
        <v>846</v>
      </c>
      <c r="N1" t="s">
        <v>846</v>
      </c>
      <c r="O1" t="s">
        <v>846</v>
      </c>
      <c r="P1" t="s">
        <v>846</v>
      </c>
    </row>
    <row r="2" spans="1:16" x14ac:dyDescent="0.25">
      <c r="A2">
        <v>24</v>
      </c>
      <c r="B2" t="s">
        <v>906</v>
      </c>
      <c r="C2" t="s">
        <v>1002</v>
      </c>
      <c r="D2">
        <v>0.2</v>
      </c>
      <c r="E2">
        <v>1</v>
      </c>
      <c r="F2">
        <v>8.75</v>
      </c>
      <c r="G2">
        <v>60</v>
      </c>
      <c r="H2" t="s">
        <v>56</v>
      </c>
      <c r="I2" t="s">
        <v>1003</v>
      </c>
      <c r="J2" t="s">
        <v>846</v>
      </c>
      <c r="K2" t="s">
        <v>846</v>
      </c>
      <c r="L2" t="s">
        <v>846</v>
      </c>
      <c r="M2" t="s">
        <v>846</v>
      </c>
      <c r="N2" t="s">
        <v>846</v>
      </c>
      <c r="O2" t="s">
        <v>846</v>
      </c>
      <c r="P2" t="s">
        <v>846</v>
      </c>
    </row>
    <row r="3" spans="1:16" x14ac:dyDescent="0.25">
      <c r="A3">
        <v>25</v>
      </c>
      <c r="B3" t="s">
        <v>828</v>
      </c>
      <c r="C3" t="s">
        <v>1004</v>
      </c>
      <c r="D3">
        <v>0</v>
      </c>
      <c r="E3">
        <v>0</v>
      </c>
      <c r="F3">
        <v>8.75</v>
      </c>
      <c r="G3">
        <v>60</v>
      </c>
      <c r="H3" t="s">
        <v>56</v>
      </c>
      <c r="I3" t="s">
        <v>1005</v>
      </c>
      <c r="J3" t="s">
        <v>846</v>
      </c>
      <c r="K3" t="s">
        <v>846</v>
      </c>
      <c r="L3" t="s">
        <v>846</v>
      </c>
      <c r="M3" t="s">
        <v>846</v>
      </c>
      <c r="N3" t="s">
        <v>846</v>
      </c>
      <c r="O3" t="s">
        <v>846</v>
      </c>
      <c r="P3" t="s">
        <v>846</v>
      </c>
    </row>
    <row r="4" spans="1:16" x14ac:dyDescent="0.25">
      <c r="A4">
        <v>26</v>
      </c>
      <c r="B4" t="s">
        <v>910</v>
      </c>
      <c r="C4" t="s">
        <v>1006</v>
      </c>
      <c r="D4">
        <v>0</v>
      </c>
      <c r="E4">
        <v>0</v>
      </c>
      <c r="F4">
        <v>8.75</v>
      </c>
      <c r="G4">
        <v>0</v>
      </c>
      <c r="H4" t="s">
        <v>56</v>
      </c>
      <c r="I4" t="s">
        <v>1007</v>
      </c>
      <c r="J4" t="s">
        <v>846</v>
      </c>
      <c r="K4" t="s">
        <v>846</v>
      </c>
      <c r="L4" t="s">
        <v>846</v>
      </c>
      <c r="M4" t="s">
        <v>846</v>
      </c>
      <c r="N4" t="s">
        <v>846</v>
      </c>
      <c r="O4" t="s">
        <v>846</v>
      </c>
      <c r="P4" t="s">
        <v>846</v>
      </c>
    </row>
    <row r="5" spans="1:16" x14ac:dyDescent="0.25">
      <c r="A5">
        <v>27</v>
      </c>
      <c r="B5" t="s">
        <v>823</v>
      </c>
      <c r="C5" t="s">
        <v>1008</v>
      </c>
      <c r="D5">
        <v>0.35</v>
      </c>
      <c r="E5">
        <v>1</v>
      </c>
      <c r="F5">
        <v>15</v>
      </c>
      <c r="G5">
        <v>60</v>
      </c>
      <c r="H5" t="s">
        <v>56</v>
      </c>
      <c r="I5" t="s">
        <v>1009</v>
      </c>
      <c r="J5" t="s">
        <v>846</v>
      </c>
      <c r="K5" t="s">
        <v>846</v>
      </c>
      <c r="L5" t="s">
        <v>846</v>
      </c>
      <c r="M5" t="s">
        <v>846</v>
      </c>
      <c r="N5" t="s">
        <v>846</v>
      </c>
      <c r="O5" t="s">
        <v>846</v>
      </c>
      <c r="P5" t="s">
        <v>846</v>
      </c>
    </row>
    <row r="6" spans="1:16" x14ac:dyDescent="0.25">
      <c r="A6">
        <v>28</v>
      </c>
      <c r="B6" t="s">
        <v>819</v>
      </c>
      <c r="C6" t="s">
        <v>1010</v>
      </c>
      <c r="D6">
        <v>0.2</v>
      </c>
      <c r="E6">
        <v>1</v>
      </c>
      <c r="F6">
        <v>20</v>
      </c>
      <c r="G6">
        <v>60</v>
      </c>
      <c r="H6" t="s">
        <v>56</v>
      </c>
      <c r="I6" t="s">
        <v>1011</v>
      </c>
      <c r="J6" t="s">
        <v>846</v>
      </c>
      <c r="K6" t="s">
        <v>846</v>
      </c>
      <c r="L6" t="s">
        <v>846</v>
      </c>
      <c r="M6" t="s">
        <v>846</v>
      </c>
      <c r="N6" t="s">
        <v>846</v>
      </c>
      <c r="O6" t="s">
        <v>846</v>
      </c>
      <c r="P6" t="s">
        <v>846</v>
      </c>
    </row>
    <row r="7" spans="1:16" x14ac:dyDescent="0.25">
      <c r="A7">
        <v>29</v>
      </c>
      <c r="B7" t="s">
        <v>826</v>
      </c>
      <c r="C7" t="s">
        <v>1012</v>
      </c>
      <c r="D7">
        <v>0.2</v>
      </c>
      <c r="E7">
        <v>1</v>
      </c>
      <c r="F7">
        <v>20</v>
      </c>
      <c r="G7">
        <v>60</v>
      </c>
      <c r="H7" t="s">
        <v>56</v>
      </c>
      <c r="I7" t="s">
        <v>1013</v>
      </c>
      <c r="J7" t="s">
        <v>846</v>
      </c>
      <c r="K7" t="s">
        <v>846</v>
      </c>
      <c r="L7" t="s">
        <v>846</v>
      </c>
      <c r="M7" t="s">
        <v>846</v>
      </c>
      <c r="N7" t="s">
        <v>846</v>
      </c>
      <c r="O7" t="s">
        <v>846</v>
      </c>
      <c r="P7" t="s">
        <v>846</v>
      </c>
    </row>
    <row r="8" spans="1:16" x14ac:dyDescent="0.25">
      <c r="A8">
        <v>30</v>
      </c>
      <c r="B8" t="s">
        <v>803</v>
      </c>
      <c r="C8" t="s">
        <v>1014</v>
      </c>
      <c r="D8">
        <v>0</v>
      </c>
      <c r="E8">
        <v>0</v>
      </c>
      <c r="F8">
        <v>8.75</v>
      </c>
      <c r="G8">
        <v>0</v>
      </c>
      <c r="H8" t="s">
        <v>56</v>
      </c>
      <c r="I8" t="s">
        <v>1015</v>
      </c>
      <c r="J8" t="s">
        <v>846</v>
      </c>
      <c r="K8" t="s">
        <v>846</v>
      </c>
      <c r="L8" t="s">
        <v>846</v>
      </c>
      <c r="M8" t="s">
        <v>846</v>
      </c>
      <c r="N8" t="s">
        <v>846</v>
      </c>
      <c r="O8" t="s">
        <v>846</v>
      </c>
      <c r="P8" t="s">
        <v>846</v>
      </c>
    </row>
    <row r="9" spans="1:16" x14ac:dyDescent="0.25">
      <c r="A9">
        <v>31</v>
      </c>
      <c r="B9" t="s">
        <v>1016</v>
      </c>
      <c r="C9" t="s">
        <v>1017</v>
      </c>
      <c r="D9">
        <v>0</v>
      </c>
      <c r="E9">
        <v>0</v>
      </c>
      <c r="F9">
        <v>8.75</v>
      </c>
      <c r="G9">
        <v>0</v>
      </c>
      <c r="H9" t="s">
        <v>56</v>
      </c>
      <c r="I9" t="s">
        <v>1018</v>
      </c>
      <c r="J9" t="s">
        <v>846</v>
      </c>
      <c r="K9" t="s">
        <v>846</v>
      </c>
      <c r="L9" t="s">
        <v>846</v>
      </c>
      <c r="M9" t="s">
        <v>846</v>
      </c>
      <c r="N9" t="s">
        <v>846</v>
      </c>
      <c r="O9" t="s">
        <v>846</v>
      </c>
      <c r="P9" t="s">
        <v>846</v>
      </c>
    </row>
    <row r="10" spans="1:16" x14ac:dyDescent="0.25">
      <c r="A10">
        <v>32</v>
      </c>
      <c r="B10" t="s">
        <v>1019</v>
      </c>
      <c r="C10" t="s">
        <v>1020</v>
      </c>
      <c r="D10">
        <v>0</v>
      </c>
      <c r="E10">
        <v>0</v>
      </c>
      <c r="F10">
        <v>8.75</v>
      </c>
      <c r="G10">
        <v>0</v>
      </c>
      <c r="H10" t="s">
        <v>56</v>
      </c>
      <c r="I10" t="s">
        <v>1021</v>
      </c>
      <c r="J10" t="s">
        <v>846</v>
      </c>
      <c r="K10" t="s">
        <v>846</v>
      </c>
      <c r="L10" t="s">
        <v>846</v>
      </c>
      <c r="M10" t="s">
        <v>846</v>
      </c>
      <c r="N10" t="s">
        <v>846</v>
      </c>
      <c r="O10" t="s">
        <v>846</v>
      </c>
      <c r="P10" t="s">
        <v>846</v>
      </c>
    </row>
    <row r="11" spans="1:16" x14ac:dyDescent="0.25">
      <c r="A11">
        <v>33</v>
      </c>
      <c r="B11" t="s">
        <v>934</v>
      </c>
      <c r="C11" t="s">
        <v>1022</v>
      </c>
      <c r="D11">
        <v>0.2</v>
      </c>
      <c r="E11">
        <v>1</v>
      </c>
      <c r="F11">
        <v>30</v>
      </c>
      <c r="G11">
        <v>60</v>
      </c>
      <c r="H11" t="s">
        <v>56</v>
      </c>
      <c r="I11" t="s">
        <v>1023</v>
      </c>
      <c r="J11" t="s">
        <v>846</v>
      </c>
      <c r="K11" t="s">
        <v>846</v>
      </c>
      <c r="L11" t="s">
        <v>846</v>
      </c>
      <c r="M11" t="s">
        <v>846</v>
      </c>
      <c r="N11" t="s">
        <v>846</v>
      </c>
      <c r="O11" t="s">
        <v>846</v>
      </c>
      <c r="P11" t="s">
        <v>846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0650-B911-47D7-8340-E7921444BA2B}">
  <dimension ref="A1:F15"/>
  <sheetViews>
    <sheetView workbookViewId="0">
      <selection activeCell="C11" sqref="C11"/>
    </sheetView>
  </sheetViews>
  <sheetFormatPr defaultRowHeight="15" x14ac:dyDescent="0.25"/>
  <cols>
    <col min="2" max="2" width="15.42578125" bestFit="1" customWidth="1"/>
    <col min="3" max="3" width="32" bestFit="1" customWidth="1"/>
  </cols>
  <sheetData>
    <row r="1" spans="1:6" x14ac:dyDescent="0.25">
      <c r="A1" t="s">
        <v>839</v>
      </c>
      <c r="B1" t="s">
        <v>1024</v>
      </c>
      <c r="C1" t="s">
        <v>726</v>
      </c>
      <c r="D1" t="s">
        <v>1025</v>
      </c>
      <c r="E1" t="s">
        <v>1026</v>
      </c>
      <c r="F1" t="s">
        <v>845</v>
      </c>
    </row>
    <row r="2" spans="1:6" x14ac:dyDescent="0.25">
      <c r="A2">
        <v>7</v>
      </c>
      <c r="B2" t="s">
        <v>94</v>
      </c>
      <c r="C2" t="s">
        <v>1027</v>
      </c>
      <c r="D2">
        <v>8</v>
      </c>
      <c r="E2">
        <v>20</v>
      </c>
      <c r="F2" t="s">
        <v>1028</v>
      </c>
    </row>
    <row r="3" spans="1:6" x14ac:dyDescent="0.25">
      <c r="A3">
        <v>8</v>
      </c>
      <c r="B3" t="s">
        <v>1029</v>
      </c>
      <c r="C3" t="s">
        <v>1027</v>
      </c>
      <c r="D3">
        <v>8</v>
      </c>
      <c r="E3">
        <v>20</v>
      </c>
      <c r="F3" t="s">
        <v>1030</v>
      </c>
    </row>
    <row r="4" spans="1:6" x14ac:dyDescent="0.25">
      <c r="A4">
        <v>9</v>
      </c>
      <c r="B4" t="s">
        <v>1031</v>
      </c>
      <c r="C4" t="s">
        <v>1027</v>
      </c>
      <c r="D4">
        <v>8</v>
      </c>
      <c r="E4">
        <v>20</v>
      </c>
      <c r="F4" t="s">
        <v>1032</v>
      </c>
    </row>
    <row r="5" spans="1:6" x14ac:dyDescent="0.25">
      <c r="A5">
        <v>10</v>
      </c>
      <c r="B5" t="s">
        <v>1033</v>
      </c>
      <c r="C5" t="s">
        <v>1027</v>
      </c>
      <c r="D5">
        <v>0</v>
      </c>
      <c r="E5">
        <v>20</v>
      </c>
      <c r="F5" t="s">
        <v>1034</v>
      </c>
    </row>
    <row r="6" spans="1:6" x14ac:dyDescent="0.25">
      <c r="A6">
        <v>11</v>
      </c>
      <c r="B6" t="s">
        <v>820</v>
      </c>
      <c r="C6" t="s">
        <v>1027</v>
      </c>
      <c r="D6">
        <v>8</v>
      </c>
      <c r="E6">
        <v>20</v>
      </c>
      <c r="F6" t="s">
        <v>1035</v>
      </c>
    </row>
    <row r="7" spans="1:6" x14ac:dyDescent="0.25">
      <c r="A7">
        <v>12</v>
      </c>
      <c r="B7" t="s">
        <v>1036</v>
      </c>
      <c r="C7" t="s">
        <v>1037</v>
      </c>
      <c r="D7">
        <v>8</v>
      </c>
      <c r="E7">
        <v>20</v>
      </c>
      <c r="F7" t="s">
        <v>1038</v>
      </c>
    </row>
    <row r="8" spans="1:6" x14ac:dyDescent="0.25">
      <c r="A8">
        <v>13</v>
      </c>
      <c r="B8" t="s">
        <v>1039</v>
      </c>
      <c r="C8" t="s">
        <v>1027</v>
      </c>
      <c r="D8">
        <v>8</v>
      </c>
      <c r="E8">
        <v>20</v>
      </c>
      <c r="F8" t="s">
        <v>1040</v>
      </c>
    </row>
    <row r="9" spans="1:6" x14ac:dyDescent="0.25">
      <c r="A9">
        <v>14</v>
      </c>
      <c r="B9" t="s">
        <v>557</v>
      </c>
      <c r="C9" t="s">
        <v>1027</v>
      </c>
      <c r="D9">
        <v>8</v>
      </c>
      <c r="E9">
        <v>20</v>
      </c>
      <c r="F9" t="s">
        <v>1041</v>
      </c>
    </row>
    <row r="10" spans="1:6" x14ac:dyDescent="0.25">
      <c r="A10">
        <v>15</v>
      </c>
      <c r="B10" t="s">
        <v>1042</v>
      </c>
      <c r="C10" t="s">
        <v>1027</v>
      </c>
      <c r="D10">
        <v>8</v>
      </c>
      <c r="E10">
        <v>20</v>
      </c>
      <c r="F10" t="s">
        <v>1043</v>
      </c>
    </row>
    <row r="11" spans="1:6" x14ac:dyDescent="0.25">
      <c r="A11">
        <v>16</v>
      </c>
      <c r="B11" t="s">
        <v>1044</v>
      </c>
      <c r="C11" t="s">
        <v>1027</v>
      </c>
      <c r="D11">
        <v>8</v>
      </c>
      <c r="E11">
        <v>20</v>
      </c>
      <c r="F11" t="s">
        <v>1045</v>
      </c>
    </row>
    <row r="12" spans="1:6" x14ac:dyDescent="0.25">
      <c r="A12">
        <v>17</v>
      </c>
      <c r="B12" t="s">
        <v>1046</v>
      </c>
      <c r="C12" t="s">
        <v>1027</v>
      </c>
      <c r="D12">
        <v>8</v>
      </c>
      <c r="E12">
        <v>20</v>
      </c>
      <c r="F12" t="s">
        <v>1047</v>
      </c>
    </row>
    <row r="13" spans="1:6" x14ac:dyDescent="0.25">
      <c r="A13">
        <v>18</v>
      </c>
      <c r="B13" t="s">
        <v>1048</v>
      </c>
      <c r="C13" t="s">
        <v>1049</v>
      </c>
      <c r="D13">
        <v>8</v>
      </c>
      <c r="E13">
        <v>20</v>
      </c>
      <c r="F13" t="s">
        <v>1050</v>
      </c>
    </row>
    <row r="14" spans="1:6" x14ac:dyDescent="0.25">
      <c r="A14">
        <v>19</v>
      </c>
      <c r="B14" t="s">
        <v>1051</v>
      </c>
      <c r="C14" t="s">
        <v>1049</v>
      </c>
      <c r="D14">
        <v>8</v>
      </c>
      <c r="E14">
        <v>20</v>
      </c>
      <c r="F14" t="s">
        <v>1052</v>
      </c>
    </row>
    <row r="15" spans="1:6" x14ac:dyDescent="0.25">
      <c r="A15">
        <v>20</v>
      </c>
      <c r="B15" t="s">
        <v>1031</v>
      </c>
      <c r="C15" t="s">
        <v>1049</v>
      </c>
      <c r="D15">
        <v>8</v>
      </c>
      <c r="E15">
        <v>20</v>
      </c>
      <c r="F15" t="s">
        <v>1053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8CF9-8EB4-423E-9767-CFBE28208661}">
  <dimension ref="A1:N2"/>
  <sheetViews>
    <sheetView workbookViewId="0">
      <selection activeCell="A2" sqref="A2:XFD10"/>
    </sheetView>
  </sheetViews>
  <sheetFormatPr defaultRowHeight="15" x14ac:dyDescent="0.25"/>
  <sheetData>
    <row r="1" spans="1:14" x14ac:dyDescent="0.25">
      <c r="A1" t="s">
        <v>1054</v>
      </c>
      <c r="B1" t="s">
        <v>649</v>
      </c>
      <c r="C1" t="s">
        <v>52</v>
      </c>
      <c r="D1" t="s">
        <v>874</v>
      </c>
      <c r="E1" t="s">
        <v>59</v>
      </c>
      <c r="F1" t="s">
        <v>4</v>
      </c>
      <c r="G1" t="s">
        <v>755</v>
      </c>
      <c r="H1" t="s">
        <v>757</v>
      </c>
      <c r="I1" t="s">
        <v>1055</v>
      </c>
      <c r="J1" t="s">
        <v>1056</v>
      </c>
      <c r="K1" t="s">
        <v>1057</v>
      </c>
      <c r="L1" t="s">
        <v>1058</v>
      </c>
      <c r="M1" t="s">
        <v>1059</v>
      </c>
      <c r="N1" t="s">
        <v>845</v>
      </c>
    </row>
    <row r="2" spans="1:14" x14ac:dyDescent="0.25">
      <c r="A2">
        <v>10</v>
      </c>
      <c r="B2">
        <v>50</v>
      </c>
      <c r="C2" t="s">
        <v>56</v>
      </c>
      <c r="D2" t="s">
        <v>1061</v>
      </c>
      <c r="E2" t="s">
        <v>1060</v>
      </c>
      <c r="F2" t="s">
        <v>846</v>
      </c>
      <c r="G2" t="s">
        <v>846</v>
      </c>
      <c r="H2" t="s">
        <v>846</v>
      </c>
      <c r="I2" t="s">
        <v>846</v>
      </c>
      <c r="J2" t="s">
        <v>846</v>
      </c>
      <c r="K2" t="s">
        <v>846</v>
      </c>
      <c r="L2" t="s">
        <v>846</v>
      </c>
      <c r="M2" t="s">
        <v>846</v>
      </c>
      <c r="N2" t="s">
        <v>1062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0FCF-E41A-4FF7-BDEB-DCCA6A9F5757}">
  <dimension ref="A1:H45"/>
  <sheetViews>
    <sheetView workbookViewId="0">
      <selection sqref="A1:H45"/>
    </sheetView>
  </sheetViews>
  <sheetFormatPr defaultRowHeight="15" x14ac:dyDescent="0.25"/>
  <sheetData>
    <row r="1" spans="1:8" x14ac:dyDescent="0.25">
      <c r="A1" t="s">
        <v>657</v>
      </c>
      <c r="B1" t="s">
        <v>141</v>
      </c>
      <c r="C1" t="s">
        <v>1063</v>
      </c>
      <c r="D1" t="s">
        <v>1064</v>
      </c>
      <c r="E1" t="s">
        <v>1065</v>
      </c>
      <c r="F1" t="s">
        <v>1066</v>
      </c>
      <c r="G1" t="s">
        <v>726</v>
      </c>
      <c r="H1" t="s">
        <v>845</v>
      </c>
    </row>
    <row r="2" spans="1:8" x14ac:dyDescent="0.25">
      <c r="A2" t="s">
        <v>68</v>
      </c>
      <c r="B2">
        <v>-50</v>
      </c>
      <c r="C2">
        <v>-25</v>
      </c>
      <c r="D2">
        <v>-50</v>
      </c>
      <c r="E2">
        <v>-50</v>
      </c>
      <c r="F2">
        <v>126</v>
      </c>
      <c r="G2" t="s">
        <v>56</v>
      </c>
      <c r="H2" t="s">
        <v>1067</v>
      </c>
    </row>
    <row r="3" spans="1:8" x14ac:dyDescent="0.25">
      <c r="A3" t="s">
        <v>68</v>
      </c>
      <c r="B3">
        <v>-25</v>
      </c>
      <c r="C3">
        <v>0</v>
      </c>
      <c r="D3">
        <v>-25</v>
      </c>
      <c r="E3">
        <v>-25</v>
      </c>
      <c r="F3">
        <v>128</v>
      </c>
      <c r="G3" t="s">
        <v>56</v>
      </c>
      <c r="H3" t="s">
        <v>1068</v>
      </c>
    </row>
    <row r="4" spans="1:8" x14ac:dyDescent="0.25">
      <c r="A4" t="s">
        <v>68</v>
      </c>
      <c r="B4">
        <v>0</v>
      </c>
      <c r="C4">
        <v>10</v>
      </c>
      <c r="D4">
        <v>0</v>
      </c>
      <c r="E4">
        <v>0</v>
      </c>
      <c r="F4">
        <v>90</v>
      </c>
      <c r="G4" t="s">
        <v>56</v>
      </c>
      <c r="H4" t="s">
        <v>1069</v>
      </c>
    </row>
    <row r="5" spans="1:8" x14ac:dyDescent="0.25">
      <c r="A5" t="s">
        <v>68</v>
      </c>
      <c r="B5">
        <v>10</v>
      </c>
      <c r="C5">
        <v>20</v>
      </c>
      <c r="D5">
        <v>10</v>
      </c>
      <c r="E5">
        <v>10</v>
      </c>
      <c r="F5">
        <v>91</v>
      </c>
      <c r="G5" t="s">
        <v>56</v>
      </c>
      <c r="H5" t="s">
        <v>1070</v>
      </c>
    </row>
    <row r="6" spans="1:8" x14ac:dyDescent="0.25">
      <c r="A6" t="s">
        <v>68</v>
      </c>
      <c r="B6">
        <v>20</v>
      </c>
      <c r="C6">
        <v>30</v>
      </c>
      <c r="D6">
        <v>20</v>
      </c>
      <c r="E6">
        <v>20</v>
      </c>
      <c r="F6">
        <v>92</v>
      </c>
      <c r="G6" t="s">
        <v>56</v>
      </c>
      <c r="H6" t="s">
        <v>1071</v>
      </c>
    </row>
    <row r="7" spans="1:8" x14ac:dyDescent="0.25">
      <c r="A7" t="s">
        <v>68</v>
      </c>
      <c r="B7">
        <v>30</v>
      </c>
      <c r="C7">
        <v>40</v>
      </c>
      <c r="D7">
        <v>30</v>
      </c>
      <c r="E7">
        <v>30</v>
      </c>
      <c r="F7">
        <v>93</v>
      </c>
      <c r="G7" t="s">
        <v>56</v>
      </c>
      <c r="H7" t="s">
        <v>1072</v>
      </c>
    </row>
    <row r="8" spans="1:8" x14ac:dyDescent="0.25">
      <c r="A8" t="s">
        <v>68</v>
      </c>
      <c r="B8">
        <v>40</v>
      </c>
      <c r="C8">
        <v>50</v>
      </c>
      <c r="D8">
        <v>40</v>
      </c>
      <c r="E8">
        <v>40</v>
      </c>
      <c r="F8">
        <v>94</v>
      </c>
      <c r="G8" t="s">
        <v>56</v>
      </c>
      <c r="H8" t="s">
        <v>1073</v>
      </c>
    </row>
    <row r="9" spans="1:8" x14ac:dyDescent="0.25">
      <c r="A9" t="s">
        <v>68</v>
      </c>
      <c r="B9">
        <v>50</v>
      </c>
      <c r="C9">
        <v>60</v>
      </c>
      <c r="D9">
        <v>50</v>
      </c>
      <c r="E9">
        <v>50</v>
      </c>
      <c r="F9">
        <v>95</v>
      </c>
      <c r="G9" t="s">
        <v>56</v>
      </c>
      <c r="H9" t="s">
        <v>1074</v>
      </c>
    </row>
    <row r="10" spans="1:8" x14ac:dyDescent="0.25">
      <c r="A10" t="s">
        <v>68</v>
      </c>
      <c r="B10">
        <v>60</v>
      </c>
      <c r="C10">
        <v>65</v>
      </c>
      <c r="D10">
        <v>60</v>
      </c>
      <c r="E10">
        <v>60</v>
      </c>
      <c r="F10">
        <v>96</v>
      </c>
      <c r="G10" t="s">
        <v>56</v>
      </c>
      <c r="H10" t="s">
        <v>1075</v>
      </c>
    </row>
    <row r="11" spans="1:8" x14ac:dyDescent="0.25">
      <c r="A11" t="s">
        <v>68</v>
      </c>
      <c r="B11">
        <v>65</v>
      </c>
      <c r="C11">
        <v>70</v>
      </c>
      <c r="D11">
        <v>65</v>
      </c>
      <c r="E11">
        <v>65</v>
      </c>
      <c r="F11">
        <v>97</v>
      </c>
      <c r="G11" t="s">
        <v>56</v>
      </c>
      <c r="H11" t="s">
        <v>1076</v>
      </c>
    </row>
    <row r="12" spans="1:8" x14ac:dyDescent="0.25">
      <c r="A12" t="s">
        <v>68</v>
      </c>
      <c r="B12">
        <v>70</v>
      </c>
      <c r="C12">
        <v>70</v>
      </c>
      <c r="D12">
        <v>70</v>
      </c>
      <c r="E12">
        <v>70</v>
      </c>
      <c r="F12">
        <v>98</v>
      </c>
      <c r="G12" t="s">
        <v>56</v>
      </c>
      <c r="H12" t="s">
        <v>1077</v>
      </c>
    </row>
    <row r="13" spans="1:8" x14ac:dyDescent="0.25">
      <c r="A13" t="s">
        <v>68</v>
      </c>
      <c r="B13">
        <v>75</v>
      </c>
      <c r="C13">
        <v>80</v>
      </c>
      <c r="D13">
        <v>50</v>
      </c>
      <c r="E13">
        <v>20</v>
      </c>
      <c r="F13">
        <v>99</v>
      </c>
      <c r="G13" t="s">
        <v>56</v>
      </c>
      <c r="H13" t="s">
        <v>1078</v>
      </c>
    </row>
    <row r="14" spans="1:8" x14ac:dyDescent="0.25">
      <c r="A14" t="s">
        <v>68</v>
      </c>
      <c r="B14">
        <v>80</v>
      </c>
      <c r="C14">
        <v>80</v>
      </c>
      <c r="D14">
        <v>60</v>
      </c>
      <c r="E14">
        <v>30</v>
      </c>
      <c r="F14">
        <v>100</v>
      </c>
      <c r="G14" t="s">
        <v>56</v>
      </c>
      <c r="H14" t="s">
        <v>1079</v>
      </c>
    </row>
    <row r="15" spans="1:8" x14ac:dyDescent="0.25">
      <c r="A15" t="s">
        <v>782</v>
      </c>
      <c r="B15">
        <v>-50</v>
      </c>
      <c r="C15">
        <v>-25</v>
      </c>
      <c r="D15">
        <v>-50</v>
      </c>
      <c r="E15">
        <v>-50</v>
      </c>
      <c r="F15">
        <v>132</v>
      </c>
      <c r="G15" t="s">
        <v>56</v>
      </c>
      <c r="H15" t="s">
        <v>1080</v>
      </c>
    </row>
    <row r="16" spans="1:8" x14ac:dyDescent="0.25">
      <c r="A16" t="s">
        <v>782</v>
      </c>
      <c r="B16">
        <v>-25</v>
      </c>
      <c r="C16">
        <v>0</v>
      </c>
      <c r="D16">
        <v>-25</v>
      </c>
      <c r="E16">
        <v>-25</v>
      </c>
      <c r="F16">
        <v>130</v>
      </c>
      <c r="G16" t="s">
        <v>56</v>
      </c>
      <c r="H16" t="s">
        <v>1081</v>
      </c>
    </row>
    <row r="17" spans="1:8" x14ac:dyDescent="0.25">
      <c r="A17" t="s">
        <v>782</v>
      </c>
      <c r="B17">
        <v>0</v>
      </c>
      <c r="C17">
        <v>10</v>
      </c>
      <c r="D17">
        <v>0</v>
      </c>
      <c r="E17">
        <v>0</v>
      </c>
      <c r="F17">
        <v>101</v>
      </c>
      <c r="G17" t="s">
        <v>56</v>
      </c>
      <c r="H17" t="s">
        <v>1082</v>
      </c>
    </row>
    <row r="18" spans="1:8" x14ac:dyDescent="0.25">
      <c r="A18" t="s">
        <v>782</v>
      </c>
      <c r="B18">
        <v>10</v>
      </c>
      <c r="C18">
        <v>20</v>
      </c>
      <c r="D18">
        <v>10</v>
      </c>
      <c r="E18">
        <v>10</v>
      </c>
      <c r="F18">
        <v>102</v>
      </c>
      <c r="G18" t="s">
        <v>56</v>
      </c>
      <c r="H18" t="s">
        <v>1083</v>
      </c>
    </row>
    <row r="19" spans="1:8" x14ac:dyDescent="0.25">
      <c r="A19" t="s">
        <v>782</v>
      </c>
      <c r="B19">
        <v>20</v>
      </c>
      <c r="C19">
        <v>30</v>
      </c>
      <c r="D19">
        <v>20</v>
      </c>
      <c r="E19">
        <v>20</v>
      </c>
      <c r="F19">
        <v>103</v>
      </c>
      <c r="G19" t="s">
        <v>56</v>
      </c>
      <c r="H19" t="s">
        <v>1084</v>
      </c>
    </row>
    <row r="20" spans="1:8" x14ac:dyDescent="0.25">
      <c r="A20" t="s">
        <v>782</v>
      </c>
      <c r="B20">
        <v>30</v>
      </c>
      <c r="C20">
        <v>40</v>
      </c>
      <c r="D20">
        <v>30</v>
      </c>
      <c r="E20">
        <v>30</v>
      </c>
      <c r="F20">
        <v>104</v>
      </c>
      <c r="G20" t="s">
        <v>56</v>
      </c>
      <c r="H20" t="s">
        <v>1085</v>
      </c>
    </row>
    <row r="21" spans="1:8" x14ac:dyDescent="0.25">
      <c r="A21" t="s">
        <v>782</v>
      </c>
      <c r="B21">
        <v>40</v>
      </c>
      <c r="C21">
        <v>50</v>
      </c>
      <c r="D21">
        <v>40</v>
      </c>
      <c r="E21">
        <v>40</v>
      </c>
      <c r="F21">
        <v>105</v>
      </c>
      <c r="G21" t="s">
        <v>56</v>
      </c>
      <c r="H21" t="s">
        <v>1086</v>
      </c>
    </row>
    <row r="22" spans="1:8" x14ac:dyDescent="0.25">
      <c r="A22" t="s">
        <v>782</v>
      </c>
      <c r="B22">
        <v>50</v>
      </c>
      <c r="C22">
        <v>60</v>
      </c>
      <c r="D22">
        <v>50</v>
      </c>
      <c r="E22">
        <v>50</v>
      </c>
      <c r="F22">
        <v>106</v>
      </c>
      <c r="G22" t="s">
        <v>56</v>
      </c>
      <c r="H22" t="s">
        <v>1087</v>
      </c>
    </row>
    <row r="23" spans="1:8" x14ac:dyDescent="0.25">
      <c r="A23" t="s">
        <v>782</v>
      </c>
      <c r="B23">
        <v>60</v>
      </c>
      <c r="C23">
        <v>65</v>
      </c>
      <c r="D23">
        <v>60</v>
      </c>
      <c r="E23">
        <v>60</v>
      </c>
      <c r="F23">
        <v>107</v>
      </c>
      <c r="G23" t="s">
        <v>56</v>
      </c>
      <c r="H23" t="s">
        <v>1088</v>
      </c>
    </row>
    <row r="24" spans="1:8" x14ac:dyDescent="0.25">
      <c r="A24" t="s">
        <v>782</v>
      </c>
      <c r="B24">
        <v>65</v>
      </c>
      <c r="C24">
        <v>70</v>
      </c>
      <c r="D24">
        <v>65</v>
      </c>
      <c r="E24">
        <v>65</v>
      </c>
      <c r="F24">
        <v>108</v>
      </c>
      <c r="G24" t="s">
        <v>56</v>
      </c>
      <c r="H24" t="s">
        <v>1089</v>
      </c>
    </row>
    <row r="25" spans="1:8" x14ac:dyDescent="0.25">
      <c r="A25" t="s">
        <v>782</v>
      </c>
      <c r="B25">
        <v>70</v>
      </c>
      <c r="C25">
        <v>75</v>
      </c>
      <c r="D25">
        <v>70</v>
      </c>
      <c r="E25">
        <v>70</v>
      </c>
      <c r="F25">
        <v>109</v>
      </c>
      <c r="G25" t="s">
        <v>56</v>
      </c>
      <c r="H25" t="s">
        <v>1090</v>
      </c>
    </row>
    <row r="26" spans="1:8" x14ac:dyDescent="0.25">
      <c r="A26" t="s">
        <v>782</v>
      </c>
      <c r="B26">
        <v>75</v>
      </c>
      <c r="C26">
        <v>80</v>
      </c>
      <c r="D26">
        <v>75</v>
      </c>
      <c r="E26">
        <v>75</v>
      </c>
      <c r="F26">
        <v>110</v>
      </c>
      <c r="G26" t="s">
        <v>56</v>
      </c>
      <c r="H26" t="s">
        <v>1091</v>
      </c>
    </row>
    <row r="27" spans="1:8" x14ac:dyDescent="0.25">
      <c r="A27" t="s">
        <v>782</v>
      </c>
      <c r="B27">
        <v>80</v>
      </c>
      <c r="C27">
        <v>80</v>
      </c>
      <c r="D27">
        <v>80</v>
      </c>
      <c r="E27">
        <v>80</v>
      </c>
      <c r="F27">
        <v>111</v>
      </c>
      <c r="G27" t="s">
        <v>56</v>
      </c>
      <c r="H27" t="s">
        <v>1092</v>
      </c>
    </row>
    <row r="28" spans="1:8" x14ac:dyDescent="0.25">
      <c r="A28" t="s">
        <v>792</v>
      </c>
      <c r="B28">
        <v>-50</v>
      </c>
      <c r="C28">
        <v>-25</v>
      </c>
      <c r="D28">
        <v>-50</v>
      </c>
      <c r="E28">
        <v>-50</v>
      </c>
      <c r="F28">
        <v>127</v>
      </c>
      <c r="G28" t="s">
        <v>56</v>
      </c>
      <c r="H28" t="s">
        <v>1093</v>
      </c>
    </row>
    <row r="29" spans="1:8" x14ac:dyDescent="0.25">
      <c r="A29" t="s">
        <v>792</v>
      </c>
      <c r="B29">
        <v>-25</v>
      </c>
      <c r="C29">
        <v>0</v>
      </c>
      <c r="D29">
        <v>-25</v>
      </c>
      <c r="E29">
        <v>-25</v>
      </c>
      <c r="F29">
        <v>129</v>
      </c>
      <c r="G29" t="s">
        <v>56</v>
      </c>
      <c r="H29" t="s">
        <v>1094</v>
      </c>
    </row>
    <row r="30" spans="1:8" x14ac:dyDescent="0.25">
      <c r="A30" t="s">
        <v>792</v>
      </c>
      <c r="B30">
        <v>0</v>
      </c>
      <c r="C30">
        <v>10</v>
      </c>
      <c r="D30">
        <v>0</v>
      </c>
      <c r="E30">
        <v>0</v>
      </c>
      <c r="F30">
        <v>112</v>
      </c>
      <c r="G30" t="s">
        <v>56</v>
      </c>
      <c r="H30" t="s">
        <v>1095</v>
      </c>
    </row>
    <row r="31" spans="1:8" x14ac:dyDescent="0.25">
      <c r="A31" t="s">
        <v>792</v>
      </c>
      <c r="B31">
        <v>10</v>
      </c>
      <c r="C31">
        <v>20</v>
      </c>
      <c r="D31">
        <v>10</v>
      </c>
      <c r="E31">
        <v>10</v>
      </c>
      <c r="F31">
        <v>113</v>
      </c>
      <c r="G31" t="s">
        <v>56</v>
      </c>
      <c r="H31" t="s">
        <v>1096</v>
      </c>
    </row>
    <row r="32" spans="1:8" x14ac:dyDescent="0.25">
      <c r="A32" t="s">
        <v>792</v>
      </c>
      <c r="B32">
        <v>20</v>
      </c>
      <c r="C32">
        <v>30</v>
      </c>
      <c r="D32">
        <v>20</v>
      </c>
      <c r="E32">
        <v>20</v>
      </c>
      <c r="F32">
        <v>114</v>
      </c>
      <c r="G32" t="s">
        <v>56</v>
      </c>
      <c r="H32" t="s">
        <v>1097</v>
      </c>
    </row>
    <row r="33" spans="1:8" x14ac:dyDescent="0.25">
      <c r="A33" t="s">
        <v>792</v>
      </c>
      <c r="B33">
        <v>30</v>
      </c>
      <c r="C33">
        <v>40</v>
      </c>
      <c r="D33">
        <v>30</v>
      </c>
      <c r="E33">
        <v>30</v>
      </c>
      <c r="F33">
        <v>115</v>
      </c>
      <c r="G33" t="s">
        <v>56</v>
      </c>
      <c r="H33" t="s">
        <v>1098</v>
      </c>
    </row>
    <row r="34" spans="1:8" x14ac:dyDescent="0.25">
      <c r="A34" t="s">
        <v>792</v>
      </c>
      <c r="B34">
        <v>40</v>
      </c>
      <c r="C34">
        <v>50</v>
      </c>
      <c r="D34">
        <v>40</v>
      </c>
      <c r="E34">
        <v>40</v>
      </c>
      <c r="F34">
        <v>116</v>
      </c>
      <c r="G34" t="s">
        <v>56</v>
      </c>
      <c r="H34" t="s">
        <v>1099</v>
      </c>
    </row>
    <row r="35" spans="1:8" x14ac:dyDescent="0.25">
      <c r="A35" t="s">
        <v>792</v>
      </c>
      <c r="B35">
        <v>50</v>
      </c>
      <c r="C35">
        <v>60</v>
      </c>
      <c r="D35">
        <v>50</v>
      </c>
      <c r="E35">
        <v>50</v>
      </c>
      <c r="F35">
        <v>117</v>
      </c>
      <c r="G35" t="s">
        <v>56</v>
      </c>
      <c r="H35" t="s">
        <v>1100</v>
      </c>
    </row>
    <row r="36" spans="1:8" x14ac:dyDescent="0.25">
      <c r="A36" t="s">
        <v>792</v>
      </c>
      <c r="B36">
        <v>60</v>
      </c>
      <c r="C36">
        <v>60</v>
      </c>
      <c r="D36">
        <v>60</v>
      </c>
      <c r="E36">
        <v>60</v>
      </c>
      <c r="F36">
        <v>118</v>
      </c>
      <c r="G36" t="s">
        <v>56</v>
      </c>
      <c r="H36" t="s">
        <v>1101</v>
      </c>
    </row>
    <row r="37" spans="1:8" x14ac:dyDescent="0.25">
      <c r="A37" t="s">
        <v>787</v>
      </c>
      <c r="B37">
        <v>-50</v>
      </c>
      <c r="C37">
        <v>-25</v>
      </c>
      <c r="D37">
        <v>-50</v>
      </c>
      <c r="E37">
        <v>-50</v>
      </c>
      <c r="F37">
        <v>133</v>
      </c>
      <c r="G37" t="s">
        <v>56</v>
      </c>
      <c r="H37" t="s">
        <v>1102</v>
      </c>
    </row>
    <row r="38" spans="1:8" x14ac:dyDescent="0.25">
      <c r="A38" t="s">
        <v>787</v>
      </c>
      <c r="B38">
        <v>-25</v>
      </c>
      <c r="C38">
        <v>0</v>
      </c>
      <c r="D38">
        <v>-25</v>
      </c>
      <c r="E38">
        <v>-25</v>
      </c>
      <c r="F38">
        <v>131</v>
      </c>
      <c r="G38" t="s">
        <v>56</v>
      </c>
      <c r="H38" t="s">
        <v>1103</v>
      </c>
    </row>
    <row r="39" spans="1:8" x14ac:dyDescent="0.25">
      <c r="A39" t="s">
        <v>787</v>
      </c>
      <c r="B39">
        <v>0</v>
      </c>
      <c r="C39">
        <v>10</v>
      </c>
      <c r="D39">
        <v>0</v>
      </c>
      <c r="E39">
        <v>0</v>
      </c>
      <c r="F39">
        <v>119</v>
      </c>
      <c r="G39" t="s">
        <v>56</v>
      </c>
      <c r="H39" t="s">
        <v>1104</v>
      </c>
    </row>
    <row r="40" spans="1:8" x14ac:dyDescent="0.25">
      <c r="A40" t="s">
        <v>787</v>
      </c>
      <c r="B40">
        <v>10</v>
      </c>
      <c r="C40">
        <v>20</v>
      </c>
      <c r="D40">
        <v>10</v>
      </c>
      <c r="E40">
        <v>10</v>
      </c>
      <c r="F40">
        <v>120</v>
      </c>
      <c r="G40" t="s">
        <v>56</v>
      </c>
      <c r="H40" t="s">
        <v>1105</v>
      </c>
    </row>
    <row r="41" spans="1:8" x14ac:dyDescent="0.25">
      <c r="A41" t="s">
        <v>787</v>
      </c>
      <c r="B41">
        <v>20</v>
      </c>
      <c r="C41">
        <v>30</v>
      </c>
      <c r="D41">
        <v>20</v>
      </c>
      <c r="E41">
        <v>20</v>
      </c>
      <c r="F41">
        <v>121</v>
      </c>
      <c r="G41" t="s">
        <v>56</v>
      </c>
      <c r="H41" t="s">
        <v>1106</v>
      </c>
    </row>
    <row r="42" spans="1:8" x14ac:dyDescent="0.25">
      <c r="A42" t="s">
        <v>787</v>
      </c>
      <c r="B42">
        <v>30</v>
      </c>
      <c r="C42">
        <v>40</v>
      </c>
      <c r="D42">
        <v>30</v>
      </c>
      <c r="E42">
        <v>30</v>
      </c>
      <c r="F42">
        <v>122</v>
      </c>
      <c r="G42" t="s">
        <v>56</v>
      </c>
      <c r="H42" t="s">
        <v>1107</v>
      </c>
    </row>
    <row r="43" spans="1:8" x14ac:dyDescent="0.25">
      <c r="A43" t="s">
        <v>787</v>
      </c>
      <c r="B43">
        <v>40</v>
      </c>
      <c r="C43">
        <v>50</v>
      </c>
      <c r="D43">
        <v>40</v>
      </c>
      <c r="E43">
        <v>40</v>
      </c>
      <c r="F43">
        <v>123</v>
      </c>
      <c r="G43" t="s">
        <v>56</v>
      </c>
      <c r="H43" t="s">
        <v>1108</v>
      </c>
    </row>
    <row r="44" spans="1:8" x14ac:dyDescent="0.25">
      <c r="A44" t="s">
        <v>787</v>
      </c>
      <c r="B44">
        <v>50</v>
      </c>
      <c r="C44">
        <v>60</v>
      </c>
      <c r="D44">
        <v>50</v>
      </c>
      <c r="E44">
        <v>50</v>
      </c>
      <c r="F44">
        <v>124</v>
      </c>
      <c r="G44" t="s">
        <v>56</v>
      </c>
      <c r="H44" t="s">
        <v>1109</v>
      </c>
    </row>
    <row r="45" spans="1:8" x14ac:dyDescent="0.25">
      <c r="A45" t="s">
        <v>787</v>
      </c>
      <c r="B45">
        <v>60</v>
      </c>
      <c r="C45">
        <v>60</v>
      </c>
      <c r="D45">
        <v>60</v>
      </c>
      <c r="E45">
        <v>60</v>
      </c>
      <c r="F45">
        <v>125</v>
      </c>
      <c r="G45" t="s">
        <v>56</v>
      </c>
      <c r="H45" t="s">
        <v>1110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764B-EC48-41F9-A7C1-33F36C1C8C72}">
  <dimension ref="A1:D11"/>
  <sheetViews>
    <sheetView workbookViewId="0">
      <selection sqref="A1:D11"/>
    </sheetView>
  </sheetViews>
  <sheetFormatPr defaultRowHeight="15" x14ac:dyDescent="0.25"/>
  <sheetData>
    <row r="1" spans="1:4" x14ac:dyDescent="0.25">
      <c r="A1" t="s">
        <v>839</v>
      </c>
      <c r="B1" t="s">
        <v>4</v>
      </c>
      <c r="C1" t="s">
        <v>547</v>
      </c>
      <c r="D1" t="s">
        <v>845</v>
      </c>
    </row>
    <row r="2" spans="1:4" x14ac:dyDescent="0.25">
      <c r="A2">
        <v>1</v>
      </c>
      <c r="B2" t="s">
        <v>1111</v>
      </c>
      <c r="C2">
        <v>10</v>
      </c>
      <c r="D2" t="s">
        <v>1112</v>
      </c>
    </row>
    <row r="3" spans="1:4" x14ac:dyDescent="0.25">
      <c r="A3">
        <v>2</v>
      </c>
      <c r="B3" t="s">
        <v>1113</v>
      </c>
      <c r="C3">
        <v>15</v>
      </c>
      <c r="D3" t="s">
        <v>1114</v>
      </c>
    </row>
    <row r="4" spans="1:4" x14ac:dyDescent="0.25">
      <c r="A4">
        <v>3</v>
      </c>
      <c r="B4" t="s">
        <v>1115</v>
      </c>
      <c r="C4">
        <v>25</v>
      </c>
      <c r="D4" t="s">
        <v>1116</v>
      </c>
    </row>
    <row r="5" spans="1:4" x14ac:dyDescent="0.25">
      <c r="A5">
        <v>4</v>
      </c>
      <c r="B5" t="s">
        <v>1117</v>
      </c>
      <c r="C5">
        <v>30</v>
      </c>
      <c r="D5" t="s">
        <v>1118</v>
      </c>
    </row>
    <row r="6" spans="1:4" x14ac:dyDescent="0.25">
      <c r="A6">
        <v>5</v>
      </c>
      <c r="B6" t="s">
        <v>1119</v>
      </c>
      <c r="C6">
        <v>40</v>
      </c>
      <c r="D6" t="s">
        <v>1120</v>
      </c>
    </row>
    <row r="7" spans="1:4" x14ac:dyDescent="0.25">
      <c r="A7">
        <v>6</v>
      </c>
      <c r="B7" t="s">
        <v>1121</v>
      </c>
      <c r="C7">
        <v>50</v>
      </c>
      <c r="D7" t="s">
        <v>1122</v>
      </c>
    </row>
    <row r="8" spans="1:4" x14ac:dyDescent="0.25">
      <c r="A8">
        <v>7</v>
      </c>
      <c r="B8" t="s">
        <v>1123</v>
      </c>
      <c r="C8">
        <v>55</v>
      </c>
      <c r="D8" t="s">
        <v>1124</v>
      </c>
    </row>
    <row r="9" spans="1:4" x14ac:dyDescent="0.25">
      <c r="A9">
        <v>8</v>
      </c>
      <c r="B9" t="s">
        <v>1125</v>
      </c>
      <c r="C9">
        <v>65</v>
      </c>
      <c r="D9" t="s">
        <v>1126</v>
      </c>
    </row>
    <row r="10" spans="1:4" x14ac:dyDescent="0.25">
      <c r="A10">
        <v>9</v>
      </c>
      <c r="B10" t="s">
        <v>1127</v>
      </c>
      <c r="C10">
        <v>75</v>
      </c>
      <c r="D10" t="s">
        <v>1128</v>
      </c>
    </row>
    <row r="11" spans="1:4" x14ac:dyDescent="0.25">
      <c r="A11">
        <v>10</v>
      </c>
      <c r="B11" t="s">
        <v>1129</v>
      </c>
      <c r="C11">
        <v>100</v>
      </c>
      <c r="D11" t="s">
        <v>1130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0 - Overview</vt:lpstr>
      <vt:lpstr>1 - Input Fields</vt:lpstr>
      <vt:lpstr>2 - CUR Basic Premium</vt:lpstr>
      <vt:lpstr>3 - Loadings &amp; Discounts</vt:lpstr>
      <vt:lpstr>4 - Period &amp; NCD</vt:lpstr>
      <vt:lpstr>5 - Fees &amp; Final Total</vt:lpstr>
      <vt:lpstr>6 - Live Calc Example</vt:lpstr>
      <vt:lpstr>7 - DB Reference Tables</vt:lpstr>
      <vt:lpstr>8 - Coverage Codes</vt:lpstr>
      <vt:lpstr>AbcTprate </vt:lpstr>
      <vt:lpstr>Coverage.Loadperc</vt:lpstr>
      <vt:lpstr>Premvar</vt:lpstr>
      <vt:lpstr>Sys</vt:lpstr>
      <vt:lpstr>LiabilityVar </vt:lpstr>
      <vt:lpstr>NVehUse</vt:lpstr>
      <vt:lpstr>VehicleTypes </vt:lpstr>
      <vt:lpstr>MinimumPremium </vt:lpstr>
      <vt:lpstr>NCD</vt:lpstr>
      <vt:lpstr>ShortPeriod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Haakmat</cp:lastModifiedBy>
  <dcterms:created xsi:type="dcterms:W3CDTF">2026-06-05T22:36:29Z</dcterms:created>
  <dcterms:modified xsi:type="dcterms:W3CDTF">2026-06-08T15:18:04Z</dcterms:modified>
</cp:coreProperties>
</file>